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h.gauffriau/WebstormProjects/easychecks-app/"/>
    </mc:Choice>
  </mc:AlternateContent>
  <xr:revisionPtr revIDLastSave="0" documentId="13_ncr:9_{ED45201E-5D63-2D43-8B58-7B44BD5E6C50}" xr6:coauthVersionLast="47" xr6:coauthVersionMax="47" xr10:uidLastSave="{00000000-0000-0000-0000-000000000000}"/>
  <bookViews>
    <workbookView xWindow="0" yWindow="600" windowWidth="29040" windowHeight="15720" tabRatio="723" activeTab="1" xr2:uid="{591FD177-915D-49D7-A65A-8F6CBF094423}"/>
  </bookViews>
  <sheets>
    <sheet name="Échantillon" sheetId="27" r:id="rId1"/>
    <sheet name="P01" sheetId="2" r:id="rId2"/>
    <sheet name="P02" sheetId="47" r:id="rId3"/>
    <sheet name="Synthèse" sheetId="9" r:id="rId4"/>
    <sheet name="criteres" sheetId="6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9" l="1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I2" i="9"/>
  <c r="E2" i="9"/>
  <c r="D2" i="9"/>
  <c r="A2" i="47"/>
  <c r="A2" i="2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6" i="9"/>
  <c r="D7" i="9"/>
  <c r="D3" i="9"/>
  <c r="D4" i="9"/>
  <c r="D5" i="9"/>
  <c r="I26" i="9" l="1"/>
  <c r="I20" i="9"/>
  <c r="I28" i="9"/>
  <c r="F8" i="9"/>
  <c r="F29" i="9"/>
  <c r="I24" i="9"/>
  <c r="I18" i="9"/>
  <c r="I16" i="9"/>
  <c r="I12" i="9"/>
  <c r="I37" i="9"/>
  <c r="H29" i="9"/>
  <c r="F3" i="9"/>
  <c r="F7" i="9"/>
  <c r="G2" i="9"/>
  <c r="I33" i="9"/>
  <c r="I27" i="9"/>
  <c r="I21" i="9"/>
  <c r="I17" i="9"/>
  <c r="I15" i="9"/>
  <c r="I38" i="9"/>
  <c r="I36" i="9"/>
  <c r="H17" i="9"/>
  <c r="H13" i="9"/>
  <c r="H38" i="9"/>
  <c r="I22" i="9"/>
  <c r="F4" i="9"/>
  <c r="F38" i="9"/>
  <c r="I29" i="9"/>
  <c r="I34" i="9"/>
  <c r="I32" i="9"/>
  <c r="I13" i="9"/>
  <c r="I11" i="9"/>
  <c r="I9" i="9"/>
  <c r="H9" i="9"/>
  <c r="F13" i="9"/>
  <c r="H26" i="9"/>
  <c r="H22" i="9"/>
  <c r="F26" i="9"/>
  <c r="F24" i="9"/>
  <c r="F22" i="9"/>
  <c r="H37" i="9"/>
  <c r="I31" i="9"/>
  <c r="F21" i="9"/>
  <c r="G9" i="9"/>
  <c r="I8" i="9"/>
  <c r="G34" i="9"/>
  <c r="G25" i="9"/>
  <c r="G18" i="9"/>
  <c r="G30" i="9"/>
  <c r="G14" i="9"/>
  <c r="F37" i="9"/>
  <c r="I25" i="9"/>
  <c r="G21" i="9"/>
  <c r="G37" i="9"/>
  <c r="I30" i="9"/>
  <c r="I23" i="9"/>
  <c r="I14" i="9"/>
  <c r="G8" i="9"/>
  <c r="G3" i="9"/>
  <c r="F6" i="9"/>
  <c r="H34" i="9"/>
  <c r="G33" i="9"/>
  <c r="G26" i="9"/>
  <c r="H25" i="9"/>
  <c r="H18" i="9"/>
  <c r="G17" i="9"/>
  <c r="F9" i="9"/>
  <c r="G7" i="9"/>
  <c r="I35" i="9"/>
  <c r="F34" i="9"/>
  <c r="H30" i="9"/>
  <c r="G22" i="9"/>
  <c r="I19" i="9"/>
  <c r="F18" i="9"/>
  <c r="H14" i="9"/>
  <c r="G38" i="9"/>
  <c r="F32" i="9"/>
  <c r="F30" i="9"/>
  <c r="G29" i="9"/>
  <c r="H21" i="9"/>
  <c r="F16" i="9"/>
  <c r="F14" i="9"/>
  <c r="G13" i="9"/>
  <c r="F5" i="9"/>
  <c r="H2" i="9"/>
  <c r="F31" i="9"/>
  <c r="F23" i="9"/>
  <c r="F15" i="9"/>
  <c r="F10" i="9"/>
  <c r="F36" i="9"/>
  <c r="G36" i="9"/>
  <c r="G28" i="9"/>
  <c r="H24" i="9"/>
  <c r="G20" i="9"/>
  <c r="H16" i="9"/>
  <c r="G12" i="9"/>
  <c r="H35" i="9"/>
  <c r="G31" i="9"/>
  <c r="H27" i="9"/>
  <c r="G23" i="9"/>
  <c r="H19" i="9"/>
  <c r="G15" i="9"/>
  <c r="H11" i="9"/>
  <c r="G10" i="9"/>
  <c r="F27" i="9"/>
  <c r="F19" i="9"/>
  <c r="F11" i="9"/>
  <c r="G6" i="9"/>
  <c r="H36" i="9"/>
  <c r="F35" i="9"/>
  <c r="F33" i="9"/>
  <c r="G32" i="9"/>
  <c r="H28" i="9"/>
  <c r="F25" i="9"/>
  <c r="G24" i="9"/>
  <c r="H20" i="9"/>
  <c r="F17" i="9"/>
  <c r="G16" i="9"/>
  <c r="H12" i="9"/>
  <c r="G35" i="9"/>
  <c r="H31" i="9"/>
  <c r="F28" i="9"/>
  <c r="G27" i="9"/>
  <c r="H23" i="9"/>
  <c r="F20" i="9"/>
  <c r="G19" i="9"/>
  <c r="H15" i="9"/>
  <c r="F12" i="9"/>
  <c r="G11" i="9"/>
  <c r="I10" i="9"/>
  <c r="H33" i="9"/>
  <c r="H32" i="9"/>
  <c r="H10" i="9"/>
  <c r="H8" i="9"/>
  <c r="I7" i="9"/>
  <c r="H7" i="9"/>
  <c r="I6" i="9"/>
  <c r="H6" i="9"/>
  <c r="F2" i="9"/>
  <c r="I4" i="9"/>
  <c r="H4" i="9"/>
  <c r="G4" i="9"/>
  <c r="I5" i="9"/>
  <c r="I3" i="9"/>
  <c r="H5" i="9"/>
  <c r="H3" i="9"/>
  <c r="G5" i="9"/>
</calcChain>
</file>

<file path=xl/sharedStrings.xml><?xml version="1.0" encoding="utf-8"?>
<sst xmlns="http://schemas.openxmlformats.org/spreadsheetml/2006/main" count="333" uniqueCount="79">
  <si>
    <t>Formulaires</t>
  </si>
  <si>
    <t>Section</t>
  </si>
  <si>
    <t>Sous-section</t>
  </si>
  <si>
    <t>Décrit le contenu ou la fonction de la page</t>
  </si>
  <si>
    <t>Précise quelle est l'étape en cours d'un processus</t>
  </si>
  <si>
    <t>Dans une série de résultats de recherche, précise quel est l'intervalle de résultats affichés.</t>
  </si>
  <si>
    <r>
      <t xml:space="preserve">Chaque page web a-t-elle un </t>
    </r>
    <r>
      <rPr>
        <b/>
        <sz val="12"/>
        <color rgb="FF000000"/>
        <rFont val="Aptos Narrow"/>
        <family val="2"/>
        <scheme val="minor"/>
      </rPr>
      <t>titre de page pertinent</t>
    </r>
    <r>
      <rPr>
        <sz val="10"/>
        <color rgb="FF000000"/>
        <rFont val="Aptos Narrow"/>
        <family val="2"/>
        <scheme val="minor"/>
      </rPr>
      <t> ?</t>
    </r>
  </si>
  <si>
    <t>Contient le nom du site</t>
  </si>
  <si>
    <t>Vérifier que les images de décoration possèdent un attribut alt vide</t>
  </si>
  <si>
    <r>
      <t xml:space="preserve">Chaque </t>
    </r>
    <r>
      <rPr>
        <b/>
        <sz val="12"/>
        <color rgb="FF000000"/>
        <rFont val="Aptos Narrow"/>
        <family val="2"/>
        <scheme val="minor"/>
      </rPr>
      <t>image</t>
    </r>
    <r>
      <rPr>
        <sz val="10"/>
        <color rgb="FF000000"/>
        <rFont val="Aptos Narrow"/>
        <family val="2"/>
        <scheme val="minor"/>
      </rPr>
      <t xml:space="preserve"> porteuse </t>
    </r>
    <r>
      <rPr>
        <b/>
        <sz val="12"/>
        <color rgb="FF000000"/>
        <rFont val="Aptos Narrow"/>
        <family val="2"/>
        <scheme val="minor"/>
      </rPr>
      <t>d’information</t>
    </r>
    <r>
      <rPr>
        <sz val="10"/>
        <color rgb="FF000000"/>
        <rFont val="Aptos Narrow"/>
        <family val="2"/>
        <scheme val="minor"/>
      </rPr>
      <t xml:space="preserve"> a-t-elle une </t>
    </r>
    <r>
      <rPr>
        <b/>
        <sz val="12"/>
        <color rgb="FF000000"/>
        <rFont val="Aptos Narrow"/>
        <family val="2"/>
        <scheme val="minor"/>
      </rPr>
      <t>alternative</t>
    </r>
    <r>
      <rPr>
        <sz val="10"/>
        <color rgb="FF000000"/>
        <rFont val="Aptos Narrow"/>
        <family val="2"/>
        <scheme val="minor"/>
      </rPr>
      <t xml:space="preserve"> textuelle pertinente ?</t>
    </r>
  </si>
  <si>
    <r>
      <t xml:space="preserve">Chaque </t>
    </r>
    <r>
      <rPr>
        <b/>
        <sz val="12"/>
        <color rgb="FF000000"/>
        <rFont val="Aptos Narrow"/>
        <family val="2"/>
        <scheme val="minor"/>
      </rPr>
      <t>image</t>
    </r>
    <r>
      <rPr>
        <sz val="10"/>
        <color rgb="FF000000"/>
        <rFont val="Aptos Narrow"/>
        <family val="2"/>
        <scheme val="minor"/>
      </rPr>
      <t xml:space="preserve"> de </t>
    </r>
    <r>
      <rPr>
        <b/>
        <sz val="12"/>
        <color rgb="FF000000"/>
        <rFont val="Aptos Narrow"/>
        <family val="2"/>
        <scheme val="minor"/>
      </rPr>
      <t>décoration</t>
    </r>
    <r>
      <rPr>
        <sz val="10"/>
        <color rgb="FF000000"/>
        <rFont val="Aptos Narrow"/>
        <family val="2"/>
        <scheme val="minor"/>
      </rPr>
      <t xml:space="preserve"> est-elle </t>
    </r>
    <r>
      <rPr>
        <b/>
        <sz val="12"/>
        <color rgb="FF000000"/>
        <rFont val="Aptos Narrow"/>
        <family val="2"/>
        <scheme val="minor"/>
      </rPr>
      <t>correctement</t>
    </r>
    <r>
      <rPr>
        <sz val="10"/>
        <color rgb="FF000000"/>
        <rFont val="Aptos Narrow"/>
        <family val="2"/>
        <scheme val="minor"/>
      </rPr>
      <t xml:space="preserve"> </t>
    </r>
    <r>
      <rPr>
        <b/>
        <sz val="12"/>
        <color rgb="FF000000"/>
        <rFont val="Aptos Narrow"/>
        <family val="2"/>
        <scheme val="minor"/>
      </rPr>
      <t>ignorée</t>
    </r>
    <r>
      <rPr>
        <sz val="10"/>
        <color rgb="FF000000"/>
        <rFont val="Aptos Narrow"/>
        <family val="2"/>
        <scheme val="minor"/>
      </rPr>
      <t xml:space="preserve"> par les technologies d’assistance ?</t>
    </r>
  </si>
  <si>
    <r>
      <t xml:space="preserve">Dans chaque page web, </t>
    </r>
    <r>
      <rPr>
        <b/>
        <sz val="12"/>
        <color rgb="FF000000"/>
        <rFont val="Aptos Narrow"/>
        <family val="2"/>
        <scheme val="minor"/>
      </rPr>
      <t>l’information</t>
    </r>
    <r>
      <rPr>
        <sz val="10"/>
        <color rgb="FF000000"/>
        <rFont val="Aptos Narrow"/>
        <family val="2"/>
        <scheme val="minor"/>
      </rPr>
      <t xml:space="preserve"> est-elle </t>
    </r>
    <r>
      <rPr>
        <b/>
        <sz val="12"/>
        <color rgb="FF000000"/>
        <rFont val="Aptos Narrow"/>
        <family val="2"/>
        <scheme val="minor"/>
      </rPr>
      <t>structurée</t>
    </r>
    <r>
      <rPr>
        <sz val="10"/>
        <color rgb="FF000000"/>
        <rFont val="Aptos Narrow"/>
        <family val="2"/>
        <scheme val="minor"/>
      </rPr>
      <t xml:space="preserve"> par l’utilisation appropriée de </t>
    </r>
    <r>
      <rPr>
        <b/>
        <sz val="12"/>
        <color rgb="FF000000"/>
        <rFont val="Aptos Narrow"/>
        <family val="2"/>
        <scheme val="minor"/>
      </rPr>
      <t>titres</t>
    </r>
    <r>
      <rPr>
        <sz val="10"/>
        <color rgb="FF000000"/>
        <rFont val="Aptos Narrow"/>
        <family val="2"/>
        <scheme val="minor"/>
      </rPr>
      <t> ?</t>
    </r>
  </si>
  <si>
    <r>
      <t xml:space="preserve">Dans chaque page web, le </t>
    </r>
    <r>
      <rPr>
        <b/>
        <sz val="12"/>
        <color rgb="FF000000"/>
        <rFont val="Aptos Narrow"/>
        <family val="2"/>
        <scheme val="minor"/>
      </rPr>
      <t>contraste</t>
    </r>
    <r>
      <rPr>
        <sz val="10"/>
        <color rgb="FF000000"/>
        <rFont val="Aptos Narrow"/>
        <family val="2"/>
        <scheme val="minor"/>
      </rPr>
      <t xml:space="preserve"> entre la couleur du </t>
    </r>
    <r>
      <rPr>
        <b/>
        <sz val="12"/>
        <color rgb="FF000000"/>
        <rFont val="Aptos Narrow"/>
        <family val="2"/>
        <scheme val="minor"/>
      </rPr>
      <t>texte</t>
    </r>
    <r>
      <rPr>
        <sz val="10"/>
        <color rgb="FF000000"/>
        <rFont val="Aptos Narrow"/>
        <family val="2"/>
        <scheme val="minor"/>
      </rPr>
      <t xml:space="preserve"> et la couleur de son arrière-plan est-il suffisamment élevé  ?
les couleurs utilisées dans les </t>
    </r>
    <r>
      <rPr>
        <b/>
        <sz val="10"/>
        <color rgb="FF000000"/>
        <rFont val="Aptos Narrow"/>
        <family val="2"/>
        <scheme val="minor"/>
      </rPr>
      <t>composants d’interface</t>
    </r>
    <r>
      <rPr>
        <sz val="10"/>
        <color rgb="FF000000"/>
        <rFont val="Aptos Narrow"/>
        <family val="2"/>
        <scheme val="minor"/>
      </rPr>
      <t xml:space="preserve"> sont-ils suffisamment élevé  ?</t>
    </r>
  </si>
  <si>
    <t>Vérifier que les images de décoration, quand elles le necessitent (SVG), sont  ignorées par les outils d'assistance</t>
  </si>
  <si>
    <t>La page doit être structurée selon un ordre logique</t>
  </si>
  <si>
    <t>Un titre doit décrire le contenu qu’il introduit</t>
  </si>
  <si>
    <t>Pas de titres "simulés" sans valeur sémantique</t>
  </si>
  <si>
    <t>Ratio de contraste minimal de 3:1 pour les textes de plus de 24px ou 18.5px en gras</t>
  </si>
  <si>
    <t>Ratio de contraste minimal de 4.5:1 pour les textes de moins de 24px, ou 18.5px en gras</t>
  </si>
  <si>
    <t>La prise du focus doit être visible</t>
  </si>
  <si>
    <t>Un menu d'évitement est présent</t>
  </si>
  <si>
    <t>Tous les composants doivent fonctionner au clavier</t>
  </si>
  <si>
    <t>Utilisation d'autocomplete</t>
  </si>
  <si>
    <t>Chaque champ est associé à son label</t>
  </si>
  <si>
    <t>Les labels sont visuellement accolés à leurs champs</t>
  </si>
  <si>
    <t>Les champs obligatoires sont indiqués et associés aux champs</t>
  </si>
  <si>
    <t>Les champs de même nature sont regroupés</t>
  </si>
  <si>
    <t>Le format attendu pour les champs est indiqués (avant validation)</t>
  </si>
  <si>
    <t>Un exemple de saisie valide est proposé</t>
  </si>
  <si>
    <t>Les champs correctement renseignés ne doivent pas être réinitialisés</t>
  </si>
  <si>
    <t>Les erreurs sont clairement indiquées et reliées aux champs</t>
  </si>
  <si>
    <r>
      <rPr>
        <b/>
        <sz val="12"/>
        <color rgb="FF000000"/>
        <rFont val="Aptos Narrow (Corps)"/>
      </rPr>
      <t>Focus</t>
    </r>
    <r>
      <rPr>
        <b/>
        <sz val="10"/>
        <color rgb="FF000000"/>
        <rFont val="Aptos Narrow"/>
        <family val="2"/>
        <scheme val="minor"/>
      </rPr>
      <t xml:space="preserve"> </t>
    </r>
    <r>
      <rPr>
        <sz val="10"/>
        <color rgb="FF000000"/>
        <rFont val="Aptos Narrow"/>
        <family val="2"/>
        <scheme val="minor"/>
      </rPr>
      <t>et</t>
    </r>
    <r>
      <rPr>
        <b/>
        <sz val="10"/>
        <color rgb="FF000000"/>
        <rFont val="Aptos Narrow"/>
        <family val="2"/>
        <scheme val="minor"/>
      </rPr>
      <t xml:space="preserve"> </t>
    </r>
    <r>
      <rPr>
        <b/>
        <sz val="12"/>
        <color rgb="FF000000"/>
        <rFont val="Aptos Narrow (Corps)"/>
      </rPr>
      <t>navigation</t>
    </r>
    <r>
      <rPr>
        <b/>
        <sz val="10"/>
        <color rgb="FF000000"/>
        <rFont val="Aptos Narrow"/>
        <family val="2"/>
        <scheme val="minor"/>
      </rPr>
      <t xml:space="preserve"> </t>
    </r>
    <r>
      <rPr>
        <sz val="10"/>
        <color rgb="FF000000"/>
        <rFont val="Aptos Narrow"/>
        <family val="2"/>
        <scheme val="minor"/>
      </rPr>
      <t>au</t>
    </r>
    <r>
      <rPr>
        <b/>
        <sz val="10"/>
        <color rgb="FF000000"/>
        <rFont val="Aptos Narrow"/>
        <family val="2"/>
        <scheme val="minor"/>
      </rPr>
      <t xml:space="preserve"> </t>
    </r>
    <r>
      <rPr>
        <b/>
        <sz val="12"/>
        <color rgb="FF000000"/>
        <rFont val="Aptos Narrow (Corps)"/>
      </rPr>
      <t>clavier</t>
    </r>
  </si>
  <si>
    <r>
      <t xml:space="preserve">Redimensionnement </t>
    </r>
    <r>
      <rPr>
        <sz val="10"/>
        <color rgb="FF000000"/>
        <rFont val="Aptos Narrow (Corps)"/>
      </rPr>
      <t>et</t>
    </r>
    <r>
      <rPr>
        <b/>
        <sz val="12"/>
        <color rgb="FF000000"/>
        <rFont val="Aptos Narrow"/>
        <family val="2"/>
        <scheme val="minor"/>
      </rPr>
      <t xml:space="preserve"> zoom</t>
    </r>
  </si>
  <si>
    <t xml:space="preserve">Laisser à l'utilisateur le contrôle des animations
</t>
  </si>
  <si>
    <t>Utilisation de prefers-reduced-motion pour déterminer si les animations sont activées</t>
  </si>
  <si>
    <t>Les animations visuelles de plus de 5 secondes et les sons de plus de 3 secondes doivent être dotés de moyen de contrôles.</t>
  </si>
  <si>
    <r>
      <rPr>
        <b/>
        <sz val="10"/>
        <color rgb="FF000000"/>
        <rFont val="Aptos Narrow"/>
        <family val="2"/>
        <scheme val="minor"/>
      </rPr>
      <t>Éléments</t>
    </r>
    <r>
      <rPr>
        <sz val="10"/>
        <color rgb="FF000000"/>
        <rFont val="Aptos Narrow"/>
        <family val="2"/>
        <scheme val="minor"/>
      </rPr>
      <t xml:space="preserve"> en </t>
    </r>
    <r>
      <rPr>
        <b/>
        <sz val="12"/>
        <color rgb="FF000000"/>
        <rFont val="Aptos Narrow (Corps)"/>
      </rPr>
      <t>mouvements</t>
    </r>
    <r>
      <rPr>
        <sz val="10"/>
        <color rgb="FF000000"/>
        <rFont val="Aptos Narrow"/>
        <family val="2"/>
        <scheme val="minor"/>
      </rPr>
      <t xml:space="preserve">, </t>
    </r>
    <r>
      <rPr>
        <b/>
        <sz val="12"/>
        <color rgb="FF000000"/>
        <rFont val="Aptos Narrow (Corps)"/>
      </rPr>
      <t>clignotants</t>
    </r>
    <r>
      <rPr>
        <sz val="10"/>
        <color rgb="FF000000"/>
        <rFont val="Aptos Narrow"/>
        <family val="2"/>
        <scheme val="minor"/>
      </rPr>
      <t xml:space="preserve"> ou </t>
    </r>
    <r>
      <rPr>
        <b/>
        <sz val="12"/>
        <color rgb="FF000000"/>
        <rFont val="Aptos Narrow (Corps)"/>
      </rPr>
      <t>flashant</t>
    </r>
  </si>
  <si>
    <t>Les éléments multimédias doivent pouvoir être contrôlés au clavier</t>
  </si>
  <si>
    <t>Vérifier la présence de sous-titre et de transcription</t>
  </si>
  <si>
    <r>
      <rPr>
        <b/>
        <sz val="11"/>
        <color theme="1"/>
        <rFont val="Aptos Narrow"/>
        <family val="2"/>
        <scheme val="minor"/>
      </rPr>
      <t>Multimédia</t>
    </r>
    <r>
      <rPr>
        <sz val="11"/>
        <color theme="1"/>
        <rFont val="Aptos Narrow"/>
        <family val="2"/>
        <scheme val="minor"/>
      </rPr>
      <t xml:space="preserve"> (vidéo, audio)</t>
    </r>
  </si>
  <si>
    <t>Zone d’en-tête : &lt;header role="banner"&gt;</t>
  </si>
  <si>
    <t>Menu de navigation principal : &lt;nav role="navigation”&gt;</t>
  </si>
  <si>
    <t>Contenu principal : &lt;main role="main"&gt;</t>
  </si>
  <si>
    <t>Pied de page : &lt;footer role="contentinfo"&gt;</t>
  </si>
  <si>
    <t>Moteur de recherche : &lt;search role="search&gt;</t>
  </si>
  <si>
    <r>
      <rPr>
        <b/>
        <sz val="12"/>
        <color rgb="FF000000"/>
        <rFont val="Aptos Narrow (Corps)"/>
      </rPr>
      <t>Structure</t>
    </r>
    <r>
      <rPr>
        <sz val="10"/>
        <color rgb="FF000000"/>
        <rFont val="Aptos Narrow"/>
        <family val="2"/>
        <scheme val="minor"/>
      </rPr>
      <t xml:space="preserve"> de </t>
    </r>
    <r>
      <rPr>
        <b/>
        <sz val="12"/>
        <color rgb="FF000000"/>
        <rFont val="Aptos Narrow (Corps)"/>
      </rPr>
      <t>l’information</t>
    </r>
    <r>
      <rPr>
        <sz val="10"/>
        <color rgb="FF000000"/>
        <rFont val="Aptos Narrow"/>
        <family val="2"/>
        <scheme val="minor"/>
      </rPr>
      <t xml:space="preserve">
</t>
    </r>
    <r>
      <rPr>
        <i/>
        <sz val="10"/>
        <color rgb="FF000000"/>
        <rFont val="Aptos Narrow"/>
        <family val="2"/>
        <scheme val="minor"/>
      </rPr>
      <t>Vérifier la présence des landmarks</t>
    </r>
  </si>
  <si>
    <r>
      <rPr>
        <b/>
        <sz val="10"/>
        <color rgb="FF000000"/>
        <rFont val="Aptos Narrow"/>
        <family val="2"/>
        <scheme val="minor"/>
      </rPr>
      <t>Langue</t>
    </r>
    <r>
      <rPr>
        <sz val="10"/>
        <color rgb="FF000000"/>
        <rFont val="Aptos Narrow"/>
        <family val="2"/>
        <scheme val="minor"/>
      </rPr>
      <t xml:space="preserve"> de la page</t>
    </r>
  </si>
  <si>
    <t>Vérifier la présence d'un attribut lang sur la balise html</t>
  </si>
  <si>
    <t>Vérifier la présence d'une balise avec un attribut lang englobant chaque changement de langue</t>
  </si>
  <si>
    <t>Conformité</t>
  </si>
  <si>
    <t>Notes</t>
  </si>
  <si>
    <t>NT</t>
  </si>
  <si>
    <r>
      <t xml:space="preserve">Zoom jusqu'à 200%
</t>
    </r>
    <r>
      <rPr>
        <i/>
        <sz val="10"/>
        <color rgb="FF000000"/>
        <rFont val="Aptos Narrow"/>
        <family val="2"/>
        <scheme val="minor"/>
      </rPr>
      <t>- Redimentionnement à 320px de large
- Tous les textes doivent pouvoir être agrandis
- Les textes ou contenus ne doivent pas être coupés
- Les textes ou contenus ne doivent pas se superposer
- Tous les boutons, champs et éléments de contrôles doivent rester visibles et utilisables</t>
    </r>
  </si>
  <si>
    <t>P01</t>
  </si>
  <si>
    <t>P02</t>
  </si>
  <si>
    <t>C</t>
  </si>
  <si>
    <t>NC</t>
  </si>
  <si>
    <t>NA</t>
  </si>
  <si>
    <r>
      <t xml:space="preserve">Vérifier que l'alternative textuelle est </t>
    </r>
    <r>
      <rPr>
        <b/>
        <sz val="10"/>
        <color rgb="FF000000"/>
        <rFont val="Aptos Narrow"/>
        <family val="2"/>
        <scheme val="minor"/>
      </rPr>
      <t>présente</t>
    </r>
  </si>
  <si>
    <r>
      <t xml:space="preserve">Vérifier que l'alternative textuelle est </t>
    </r>
    <r>
      <rPr>
        <b/>
        <sz val="10"/>
        <color rgb="FF000000"/>
        <rFont val="Aptos Narrow"/>
        <family val="2"/>
        <scheme val="minor"/>
      </rPr>
      <t>pertinente</t>
    </r>
  </si>
  <si>
    <t>Échantillon évalué</t>
  </si>
  <si>
    <t>Date ou période de réalisation de l’audit :</t>
  </si>
  <si>
    <t>Personne réalisant l’audit :</t>
  </si>
  <si>
    <t>Contexte de l’audit :</t>
  </si>
  <si>
    <t>Site audité :</t>
  </si>
  <si>
    <t>N° page</t>
  </si>
  <si>
    <t>Titre de la page</t>
  </si>
  <si>
    <t>URL</t>
  </si>
  <si>
    <t>Commentaire</t>
  </si>
  <si>
    <t>Easy Checks – GRILLE D'ÉVALUATION</t>
  </si>
  <si>
    <t>Titres</t>
  </si>
  <si>
    <t>Images</t>
  </si>
  <si>
    <t>Contrastes</t>
  </si>
  <si>
    <t>Zoom</t>
  </si>
  <si>
    <t>Clavier</t>
  </si>
  <si>
    <t>Animations</t>
  </si>
  <si>
    <t>Multimédia</t>
  </si>
  <si>
    <t>Structuration</t>
  </si>
  <si>
    <t>Langue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</si>
</sst>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1"/>
      <color theme="1"/>
      <name val="Aptos Narrow"/>
      <family val="2"/>
      <scheme val="minor"/>
    </font>
    <font>
      <sz val="10"/>
      <color rgb="FF000000"/>
      <name val="Arial1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2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23"/>
      <name val="Arial"/>
      <family val="2"/>
    </font>
    <font>
      <u/>
      <sz val="10"/>
      <color indexed="39"/>
      <name val="Arial"/>
      <family val="2"/>
    </font>
    <font>
      <sz val="10"/>
      <color indexed="17"/>
      <name val="Arial"/>
      <family val="2"/>
    </font>
    <font>
      <sz val="10"/>
      <color indexed="19"/>
      <name val="Arial"/>
      <family val="2"/>
    </font>
    <font>
      <sz val="10"/>
      <color indexed="10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9"/>
      <name val="Arial"/>
      <family val="2"/>
    </font>
    <font>
      <b/>
      <sz val="10"/>
      <color indexed="54"/>
      <name val="Arial"/>
      <family val="2"/>
    </font>
    <font>
      <b/>
      <sz val="10"/>
      <name val="Arial"/>
      <family val="2"/>
    </font>
    <font>
      <b/>
      <sz val="14"/>
      <color indexed="9"/>
      <name val="Arial"/>
      <family val="2"/>
    </font>
    <font>
      <sz val="10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rgb="FF000000"/>
      <name val="Aptos Narrow (Corps)"/>
    </font>
    <font>
      <sz val="10"/>
      <color rgb="FF000000"/>
      <name val="Aptos Narrow (Corps)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rgb="FFFFFFFF"/>
      <name val="Calibri"/>
      <family val="2"/>
    </font>
    <font>
      <b/>
      <sz val="12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b/>
      <sz val="14"/>
      <color rgb="FFFFFFFF"/>
      <name val="Calibri"/>
      <family val="2"/>
    </font>
    <font>
      <b/>
      <sz val="10"/>
      <color rgb="FFFFFFFF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indexed="60"/>
        <bgColor indexed="25"/>
      </patternFill>
    </fill>
    <fill>
      <patternFill patternType="solid">
        <fgColor indexed="44"/>
        <bgColor indexed="22"/>
      </patternFill>
    </fill>
    <fill>
      <patternFill patternType="solid">
        <fgColor indexed="26"/>
        <bgColor indexed="9"/>
      </patternFill>
    </fill>
    <fill>
      <patternFill patternType="solid">
        <fgColor indexed="42"/>
        <bgColor indexed="27"/>
      </patternFill>
    </fill>
    <fill>
      <patternFill patternType="solid">
        <fgColor indexed="47"/>
        <bgColor indexed="31"/>
      </patternFill>
    </fill>
    <fill>
      <patternFill patternType="solid">
        <fgColor indexed="10"/>
        <bgColor indexed="25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47"/>
      </patternFill>
    </fill>
    <fill>
      <patternFill patternType="solid">
        <fgColor indexed="38"/>
        <bgColor indexed="21"/>
      </patternFill>
    </fill>
    <fill>
      <patternFill patternType="solid">
        <fgColor indexed="25"/>
        <bgColor indexed="60"/>
      </patternFill>
    </fill>
    <fill>
      <patternFill patternType="solid">
        <fgColor indexed="21"/>
        <bgColor indexed="38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EEEEEE"/>
        <bgColor rgb="FFEEEEEE"/>
      </patternFill>
    </fill>
    <fill>
      <patternFill patternType="solid">
        <fgColor rgb="FFB5321A"/>
        <bgColor rgb="FFB5321A"/>
      </patternFill>
    </fill>
    <fill>
      <patternFill patternType="solid">
        <fgColor rgb="FF266077"/>
        <bgColor rgb="FF266077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9">
    <xf numFmtId="0" fontId="0" fillId="0" borderId="0"/>
    <xf numFmtId="0" fontId="1" fillId="0" borderId="0"/>
    <xf numFmtId="0" fontId="2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2" fillId="0" borderId="0" applyNumberFormat="0" applyFont="0" applyFill="0" applyBorder="0" applyAlignment="0" applyProtection="0"/>
    <xf numFmtId="0" fontId="5" fillId="4" borderId="2" applyNumberForma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" fillId="0" borderId="0" applyNumberFormat="0" applyFont="0" applyFill="0" applyBorder="0" applyAlignment="0" applyProtection="0"/>
    <xf numFmtId="0" fontId="8" fillId="5" borderId="0" applyNumberFormat="0" applyBorder="0" applyAlignment="0" applyProtection="0"/>
    <xf numFmtId="0" fontId="9" fillId="4" borderId="0" applyNumberFormat="0" applyBorder="0" applyAlignment="0" applyProtection="0"/>
    <xf numFmtId="0" fontId="10" fillId="6" borderId="0" applyNumberFormat="0" applyBorder="0" applyAlignment="0" applyProtection="0"/>
    <xf numFmtId="0" fontId="10" fillId="0" borderId="0" applyNumberFormat="0" applyFill="0" applyBorder="0" applyAlignment="0" applyProtection="0"/>
    <xf numFmtId="0" fontId="11" fillId="7" borderId="0" applyNumberFormat="0" applyBorder="0" applyAlignment="0" applyProtection="0"/>
    <xf numFmtId="0" fontId="12" fillId="0" borderId="0" applyNumberFormat="0" applyFill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2" fillId="10" borderId="0" applyNumberFormat="0" applyBorder="0" applyAlignment="0" applyProtection="0"/>
    <xf numFmtId="49" fontId="11" fillId="11" borderId="0" applyBorder="0" applyProtection="0">
      <alignment horizontal="center" vertical="center"/>
    </xf>
    <xf numFmtId="49" fontId="11" fillId="12" borderId="0" applyBorder="0" applyProtection="0">
      <alignment horizontal="center" vertical="center"/>
    </xf>
    <xf numFmtId="49" fontId="11" fillId="8" borderId="0" applyBorder="0" applyProtection="0">
      <alignment horizontal="center" vertical="center"/>
    </xf>
    <xf numFmtId="0" fontId="14" fillId="0" borderId="3" applyNumberFormat="0" applyFill="0" applyProtection="0">
      <alignment horizontal="center" vertical="center" wrapText="1"/>
    </xf>
    <xf numFmtId="0" fontId="11" fillId="13" borderId="3" applyNumberFormat="0" applyProtection="0">
      <alignment horizontal="center" vertical="center" wrapText="1"/>
    </xf>
    <xf numFmtId="0" fontId="15" fillId="3" borderId="3" applyNumberFormat="0" applyFont="0" applyProtection="0">
      <alignment wrapText="1"/>
    </xf>
    <xf numFmtId="0" fontId="16" fillId="2" borderId="0" applyNumberFormat="0" applyBorder="0" applyAlignment="0" applyProtection="0"/>
    <xf numFmtId="0" fontId="31" fillId="0" borderId="0" applyNumberFormat="0" applyFill="0" applyBorder="0" applyAlignment="0" applyProtection="0"/>
    <xf numFmtId="0" fontId="32" fillId="17" borderId="0">
      <alignment horizontal="center"/>
    </xf>
    <xf numFmtId="0" fontId="33" fillId="18" borderId="0">
      <alignment vertical="center"/>
    </xf>
  </cellStyleXfs>
  <cellXfs count="37">
    <xf numFmtId="0" fontId="0" fillId="0" borderId="0" xfId="0"/>
    <xf numFmtId="0" fontId="17" fillId="0" borderId="1" xfId="1" applyFont="1" applyBorder="1" applyAlignment="1">
      <alignment horizontal="left" vertical="top" wrapText="1"/>
    </xf>
    <xf numFmtId="0" fontId="20" fillId="0" borderId="0" xfId="0" applyFont="1"/>
    <xf numFmtId="0" fontId="17" fillId="0" borderId="1" xfId="1" applyFont="1" applyBorder="1" applyAlignment="1">
      <alignment vertical="top" wrapText="1"/>
    </xf>
    <xf numFmtId="0" fontId="18" fillId="0" borderId="1" xfId="0" applyFont="1" applyBorder="1" applyAlignment="1">
      <alignment horizontal="left" vertical="top" wrapText="1"/>
    </xf>
    <xf numFmtId="0" fontId="27" fillId="0" borderId="0" xfId="0" applyFont="1" applyAlignment="1">
      <alignment wrapText="1"/>
    </xf>
    <xf numFmtId="0" fontId="28" fillId="14" borderId="0" xfId="0" applyFont="1" applyFill="1"/>
    <xf numFmtId="0" fontId="17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wrapText="1"/>
    </xf>
    <xf numFmtId="0" fontId="23" fillId="0" borderId="1" xfId="0" applyFont="1" applyBorder="1" applyAlignment="1">
      <alignment wrapText="1"/>
    </xf>
    <xf numFmtId="0" fontId="20" fillId="0" borderId="1" xfId="0" applyFont="1" applyBorder="1" applyAlignment="1">
      <alignment wrapText="1"/>
    </xf>
    <xf numFmtId="0" fontId="20" fillId="0" borderId="1" xfId="0" applyFont="1" applyBorder="1" applyAlignment="1">
      <alignment horizontal="left" vertical="top" wrapText="1"/>
    </xf>
    <xf numFmtId="0" fontId="29" fillId="15" borderId="0" xfId="0" applyFont="1" applyFill="1" applyAlignment="1">
      <alignment horizontal="center"/>
    </xf>
    <xf numFmtId="0" fontId="30" fillId="16" borderId="1" xfId="0" applyFont="1" applyFill="1" applyBorder="1" applyAlignment="1">
      <alignment horizontal="center"/>
    </xf>
    <xf numFmtId="0" fontId="0" fillId="0" borderId="0" xfId="0" applyAlignment="1">
      <alignment horizontal="left" vertical="top" wrapText="1"/>
    </xf>
    <xf numFmtId="0" fontId="28" fillId="0" borderId="0" xfId="0" applyFont="1"/>
    <xf numFmtId="0" fontId="33" fillId="18" borderId="0" xfId="28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31" fillId="0" borderId="1" xfId="26" applyBorder="1" applyAlignment="1">
      <alignment vertical="center" wrapText="1"/>
    </xf>
    <xf numFmtId="0" fontId="0" fillId="0" borderId="0" xfId="0" applyAlignment="1">
      <alignment horizontal="left" vertical="top" wrapText="1"/>
    </xf>
    <xf numFmtId="0" fontId="0" fillId="0" borderId="0" xfId="0"/>
    <xf numFmtId="0" fontId="30" fillId="0" borderId="0" xfId="0" applyFont="1" applyAlignment="1">
      <alignment horizontal="right" vertical="center" wrapText="1"/>
    </xf>
    <xf numFmtId="0" fontId="0" fillId="0" borderId="0" xfId="0" applyAlignment="1">
      <alignment wrapText="1"/>
    </xf>
    <xf numFmtId="0" fontId="32" fillId="17" borderId="0" xfId="27" applyAlignment="1">
      <alignment horizontal="center" vertical="center" wrapText="1"/>
    </xf>
    <xf numFmtId="0" fontId="3" fillId="2" borderId="0" xfId="3" applyAlignment="1">
      <alignment horizontal="center" vertical="center" wrapText="1"/>
    </xf>
    <xf numFmtId="14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7" fillId="0" borderId="1" xfId="0" applyFont="1" applyBorder="1" applyAlignment="1">
      <alignment horizontal="left" vertical="top" wrapText="1"/>
    </xf>
    <xf numFmtId="0" fontId="19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32" fillId="17" borderId="6" xfId="27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0" fillId="0" borderId="1" xfId="0" applyFont="1" applyBorder="1" applyAlignment="1">
      <alignment horizontal="left" vertical="top"/>
    </xf>
  </cellXfs>
  <cellStyles count="29">
    <cellStyle name="Accent" xfId="15" xr:uid="{FAA67489-4C68-4F11-8457-3F2897F57C22}"/>
    <cellStyle name="Accent 1" xfId="16" xr:uid="{5CD89674-778D-40A7-9120-65044C677020}"/>
    <cellStyle name="Accent 2" xfId="17" xr:uid="{FB83A4F3-E840-4700-AA81-4C396E2C7DAF}"/>
    <cellStyle name="Accent 3" xfId="18" xr:uid="{3B1FA157-46D1-4CA4-B8DC-7658E6E72D98}"/>
    <cellStyle name="Bad" xfId="12" xr:uid="{C815DC77-6967-4D04-B20B-94D8B28743DC}"/>
    <cellStyle name="En-tête de tableau" xfId="23" xr:uid="{D46E1C1D-3FB6-49AF-BB8A-39384956A3CE}"/>
    <cellStyle name="Entête tableau" xfId="28" xr:uid="{7340AC1B-BDF6-4A21-A46A-84A37A65DDDE}"/>
    <cellStyle name="Error" xfId="14" xr:uid="{E6FDD8D3-D940-4E75-9BBD-3AB74D65AEA3}"/>
    <cellStyle name="Footnote" xfId="7" xr:uid="{4DBCAFE9-85F3-449F-9523-D1F0909CD53F}"/>
    <cellStyle name="Good" xfId="10" xr:uid="{FCCC5C34-6657-422B-91BD-CC9A6A35C32F}"/>
    <cellStyle name="Heading" xfId="27" xr:uid="{2D5C1907-12C7-45DE-A48C-7332AFDAAC45}"/>
    <cellStyle name="Heading 1" xfId="3" xr:uid="{A5F2A48C-A737-4936-835D-14E52B364598}"/>
    <cellStyle name="Heading 2" xfId="4" xr:uid="{B17A9A18-B590-4D13-AA6B-1739ADDA0526}"/>
    <cellStyle name="Hyperlink" xfId="8" xr:uid="{6730D2CA-1A7D-4AA9-8A87-BCFCE944745B}"/>
    <cellStyle name="Lien hypertexte" xfId="26" builtinId="8"/>
    <cellStyle name="Neutral" xfId="11" xr:uid="{06894086-54F5-401D-81B5-5648D67723B7}"/>
    <cellStyle name="Normal" xfId="0" builtinId="0"/>
    <cellStyle name="Normal 2" xfId="1" xr:uid="{C6654F64-834E-4F7B-854B-F6F148A93B0A}"/>
    <cellStyle name="Normal 3" xfId="2" xr:uid="{A2C18058-ABA7-4A3A-8B89-083C7AC72B8F}"/>
    <cellStyle name="Note 2" xfId="6" xr:uid="{7173F151-ABCA-48F3-AB9A-E8571D2F001B}"/>
    <cellStyle name="Status" xfId="9" xr:uid="{9EA9AC01-0937-40F1-BA1D-ECED4887BAC2}"/>
    <cellStyle name="Statut - NA" xfId="22" xr:uid="{B68F52B9-34CB-4416-9E5F-3F1FFD059F1F}"/>
    <cellStyle name="Statut - Non (problème non détecté)" xfId="19" xr:uid="{7BAAD91F-3F7D-4E32-A3B8-BE2DDCCA0907}"/>
    <cellStyle name="Statut - NT" xfId="21" xr:uid="{8EC592B4-182A-4CCC-A139-2202FDBE27C7}"/>
    <cellStyle name="Statut - Oui (problème détecté)" xfId="20" xr:uid="{CA68DC5F-304B-42D1-BA28-530CB694BA15}"/>
    <cellStyle name="Text" xfId="5" xr:uid="{2B7C0F18-D36D-4A6C-B5AF-076CCDD8A389}"/>
    <cellStyle name="Titre 2" xfId="25" xr:uid="{6039C888-EC77-4403-9264-9059406A625F}"/>
    <cellStyle name="Total de tableau" xfId="24" xr:uid="{B00779DE-CF7A-446A-A859-2B2E99301156}"/>
    <cellStyle name="Warning" xfId="13" xr:uid="{8C863CDE-0621-47CD-9C61-9979F8935417}"/>
  </cellStyles>
  <dxfs count="20">
    <dxf>
      <font>
        <b/>
        <i val="0"/>
        <color theme="0"/>
      </font>
      <fill>
        <patternFill>
          <bgColor theme="1" tint="0.14996795556505021"/>
        </patternFill>
      </fill>
    </dxf>
    <dxf>
      <font>
        <b/>
        <i val="0"/>
        <color theme="0"/>
      </font>
      <fill>
        <patternFill>
          <bgColor theme="6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1" tint="0.14996795556505021"/>
        </patternFill>
      </fill>
    </dxf>
    <dxf>
      <font>
        <b/>
        <i val="0"/>
        <color theme="0"/>
      </font>
      <fill>
        <patternFill>
          <bgColor theme="6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1" tint="0.14996795556505021"/>
        </patternFill>
      </fill>
    </dxf>
    <dxf>
      <font>
        <b/>
        <i val="0"/>
        <color theme="0"/>
      </font>
      <fill>
        <patternFill>
          <bgColor theme="6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1" tint="0.14996795556505021"/>
        </patternFill>
      </fill>
    </dxf>
    <dxf>
      <font>
        <b/>
        <i val="0"/>
        <color theme="0"/>
      </font>
      <fill>
        <patternFill>
          <bgColor theme="6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1" tint="0.14996795556505021"/>
        </patternFill>
      </fill>
    </dxf>
    <dxf>
      <font>
        <b/>
        <i val="0"/>
        <color theme="0"/>
      </font>
      <fill>
        <patternFill>
          <bgColor theme="6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1" tint="0.14996795556505021"/>
        </patternFill>
      </fill>
    </dxf>
    <dxf>
      <font>
        <b/>
        <i val="0"/>
        <color theme="0"/>
      </font>
      <fill>
        <patternFill>
          <bgColor theme="6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15181F-7943-4A87-9247-C795D491D08F}" name="__Anonymous_Sheet_DB__1" displayName="__Anonymous_Sheet_DB__1" ref="A8:D10" totalsRowShown="0">
  <autoFilter ref="A8:D10" xr:uid="{E015181F-7943-4A87-9247-C795D491D08F}"/>
  <tableColumns count="4">
    <tableColumn id="1" xr3:uid="{931EED50-5A9E-4031-9369-44ABFAC6B8AD}" name="N° page"/>
    <tableColumn id="2" xr3:uid="{B6A0451D-DE93-4F4A-8687-521A2B6E295D}" name="Titre de la page"/>
    <tableColumn id="3" xr3:uid="{24B8C908-11A4-497C-A281-66CC689E405A}" name="URL"/>
    <tableColumn id="4" xr3:uid="{3B3267E3-F957-4B69-B89C-39E045379695}" name="Commentair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DF1DE-0286-40B3-8B83-15527EFC81A5}">
  <sheetPr codeName="Feuil3"/>
  <dimension ref="A1:D10"/>
  <sheetViews>
    <sheetView workbookViewId="0">
      <selection activeCell="D22" sqref="D22"/>
    </sheetView>
  </sheetViews>
  <sheetFormatPr baseColWidth="10" defaultRowHeight="15"/>
  <cols>
    <col min="1" max="1" width="24.6640625" customWidth="1"/>
    <col min="2" max="2" width="23.5" customWidth="1"/>
    <col min="3" max="3" width="76.5" bestFit="1" customWidth="1"/>
    <col min="4" max="4" width="28.1640625" customWidth="1"/>
  </cols>
  <sheetData>
    <row r="1" spans="1:4" ht="19">
      <c r="A1" s="25" t="s">
        <v>69</v>
      </c>
      <c r="B1" s="25"/>
      <c r="C1" s="25"/>
      <c r="D1" s="25"/>
    </row>
    <row r="2" spans="1:4" ht="16">
      <c r="A2" s="26" t="s">
        <v>60</v>
      </c>
      <c r="B2" s="26"/>
      <c r="C2" s="26"/>
      <c r="D2" s="26"/>
    </row>
    <row r="3" spans="1:4" ht="16">
      <c r="A3" s="23" t="s">
        <v>61</v>
      </c>
      <c r="B3" s="23"/>
      <c r="C3" s="27"/>
      <c r="D3" s="28"/>
    </row>
    <row r="4" spans="1:4" ht="16">
      <c r="A4" s="23" t="s">
        <v>62</v>
      </c>
      <c r="B4" s="23"/>
      <c r="C4" s="22"/>
      <c r="D4" s="22"/>
    </row>
    <row r="5" spans="1:4" ht="16">
      <c r="A5" s="23" t="s">
        <v>63</v>
      </c>
      <c r="B5" s="23"/>
      <c r="C5" s="24"/>
      <c r="D5" s="22"/>
    </row>
    <row r="6" spans="1:4" ht="16">
      <c r="A6" s="23" t="s">
        <v>64</v>
      </c>
      <c r="B6" s="23"/>
      <c r="C6" s="22"/>
      <c r="D6" s="22"/>
    </row>
    <row r="8" spans="1:4">
      <c r="A8" s="16" t="s">
        <v>65</v>
      </c>
      <c r="B8" s="16" t="s">
        <v>66</v>
      </c>
      <c r="C8" s="16" t="s">
        <v>67</v>
      </c>
      <c r="D8" s="16" t="s">
        <v>68</v>
      </c>
    </row>
    <row r="9" spans="1:4" ht="16">
      <c r="A9" s="17" t="s">
        <v>53</v>
      </c>
      <c r="B9" s="18"/>
      <c r="C9" s="20"/>
      <c r="D9" s="19"/>
    </row>
    <row r="10" spans="1:4" ht="16">
      <c r="A10" s="17" t="s">
        <v>54</v>
      </c>
      <c r="B10" s="18"/>
      <c r="C10" s="19"/>
      <c r="D10" s="19"/>
    </row>
  </sheetData>
  <mergeCells count="10">
    <mergeCell ref="A5:B5"/>
    <mergeCell ref="C5:D5"/>
    <mergeCell ref="A6:B6"/>
    <mergeCell ref="C6:D6"/>
    <mergeCell ref="A1:D1"/>
    <mergeCell ref="A2:D2"/>
    <mergeCell ref="A3:B3"/>
    <mergeCell ref="C3:D3"/>
    <mergeCell ref="A4:B4"/>
    <mergeCell ref="C4:D4"/>
  </mergeCells>
  <conditionalFormatting sqref="A9:D10">
    <cfRule type="expression" dxfId="19" priority="1">
      <formula>MOD(_xludf.ROW(),2)=0</formula>
    </cfRule>
    <cfRule type="expression" dxfId="18" priority="2">
      <formula>MOD(_xludf.ROW(),2)=0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7AA30-AF3C-6F4B-91B7-E98B85CDB327}">
  <sheetPr codeName="Feuil2"/>
  <dimension ref="A1:M42"/>
  <sheetViews>
    <sheetView tabSelected="1" topLeftCell="A3" zoomScale="115" zoomScaleNormal="115" workbookViewId="0">
      <selection activeCell="A2" sqref="A2:C2"/>
    </sheetView>
  </sheetViews>
  <sheetFormatPr baseColWidth="10" defaultRowHeight="15"/>
  <cols>
    <col min="1" max="1" width="36.6640625" style="2" customWidth="1"/>
    <col min="2" max="2" width="49.5" customWidth="1"/>
    <col min="4" max="4" width="20.1640625" customWidth="1"/>
  </cols>
  <sheetData>
    <row r="1" spans="1:13">
      <c r="A1" s="34" t="s">
        <v>69</v>
      </c>
      <c r="B1" s="35"/>
      <c r="C1" s="35"/>
    </row>
    <row r="2" spans="1:13">
      <c r="A2" s="34" t="str">
        <f>CONCATENATE(Échantillon!B9," : ",Échantillon!C9)</f>
        <v xml:space="preserve"> : </v>
      </c>
      <c r="B2" s="35"/>
      <c r="C2" s="35"/>
    </row>
    <row r="3" spans="1:13" s="15" customFormat="1" ht="16">
      <c r="A3" s="6" t="s">
        <v>1</v>
      </c>
      <c r="B3" s="6" t="s">
        <v>2</v>
      </c>
      <c r="C3" s="6" t="s">
        <v>49</v>
      </c>
      <c r="D3" s="15" t="s">
        <v>50</v>
      </c>
      <c r="E3"/>
      <c r="F3"/>
      <c r="G3"/>
      <c r="H3"/>
      <c r="I3"/>
      <c r="J3"/>
      <c r="K3"/>
      <c r="L3"/>
      <c r="M3"/>
    </row>
    <row r="4" spans="1:13">
      <c r="A4" s="29" t="s">
        <v>6</v>
      </c>
      <c r="B4" s="8" t="s">
        <v>7</v>
      </c>
      <c r="C4" s="7" t="s">
        <v>51</v>
      </c>
    </row>
    <row r="5" spans="1:13">
      <c r="A5" s="29"/>
      <c r="B5" s="8" t="s">
        <v>3</v>
      </c>
      <c r="C5" s="7" t="s">
        <v>51</v>
      </c>
    </row>
    <row r="6" spans="1:13">
      <c r="A6" s="29"/>
      <c r="B6" s="8" t="s">
        <v>4</v>
      </c>
      <c r="C6" s="7" t="s">
        <v>51</v>
      </c>
    </row>
    <row r="7" spans="1:13" ht="30">
      <c r="A7" s="29"/>
      <c r="B7" s="8" t="s">
        <v>5</v>
      </c>
      <c r="C7" s="7" t="s">
        <v>51</v>
      </c>
    </row>
    <row r="8" spans="1:13">
      <c r="A8" s="32" t="s">
        <v>9</v>
      </c>
      <c r="B8" s="1" t="s">
        <v>58</v>
      </c>
      <c r="C8" s="7" t="s">
        <v>51</v>
      </c>
    </row>
    <row r="9" spans="1:13">
      <c r="A9" s="33"/>
      <c r="B9" s="1" t="s">
        <v>59</v>
      </c>
      <c r="C9" s="7" t="s">
        <v>51</v>
      </c>
    </row>
    <row r="10" spans="1:13">
      <c r="A10" s="29" t="s">
        <v>10</v>
      </c>
      <c r="B10" s="1" t="s">
        <v>8</v>
      </c>
      <c r="C10" s="7" t="s">
        <v>51</v>
      </c>
    </row>
    <row r="11" spans="1:13" ht="30">
      <c r="A11" s="29"/>
      <c r="B11" s="1" t="s">
        <v>13</v>
      </c>
      <c r="C11" s="7" t="s">
        <v>51</v>
      </c>
    </row>
    <row r="12" spans="1:13">
      <c r="A12" s="29" t="s">
        <v>11</v>
      </c>
      <c r="B12" s="1" t="s">
        <v>14</v>
      </c>
      <c r="C12" s="7" t="s">
        <v>51</v>
      </c>
    </row>
    <row r="13" spans="1:13">
      <c r="A13" s="29"/>
      <c r="B13" s="1" t="s">
        <v>15</v>
      </c>
      <c r="C13" s="7" t="s">
        <v>51</v>
      </c>
    </row>
    <row r="14" spans="1:13">
      <c r="A14" s="29"/>
      <c r="B14" s="1" t="s">
        <v>16</v>
      </c>
      <c r="C14" s="7" t="s">
        <v>51</v>
      </c>
    </row>
    <row r="15" spans="1:13" ht="30">
      <c r="A15" s="29" t="s">
        <v>12</v>
      </c>
      <c r="B15" s="3" t="s">
        <v>18</v>
      </c>
      <c r="C15" s="7" t="s">
        <v>51</v>
      </c>
    </row>
    <row r="16" spans="1:13" ht="30">
      <c r="A16" s="29"/>
      <c r="B16" s="1" t="s">
        <v>17</v>
      </c>
      <c r="C16" s="7" t="s">
        <v>51</v>
      </c>
    </row>
    <row r="17" spans="1:3" ht="105">
      <c r="A17" s="4" t="s">
        <v>32</v>
      </c>
      <c r="B17" s="1" t="s">
        <v>52</v>
      </c>
      <c r="C17" s="7" t="s">
        <v>51</v>
      </c>
    </row>
    <row r="18" spans="1:3">
      <c r="A18" s="30" t="s">
        <v>31</v>
      </c>
      <c r="B18" s="1" t="s">
        <v>19</v>
      </c>
      <c r="C18" s="7" t="s">
        <v>51</v>
      </c>
    </row>
    <row r="19" spans="1:3">
      <c r="A19" s="30"/>
      <c r="B19" s="1" t="s">
        <v>20</v>
      </c>
      <c r="C19" s="7" t="s">
        <v>51</v>
      </c>
    </row>
    <row r="20" spans="1:3">
      <c r="A20" s="30"/>
      <c r="B20" s="1" t="s">
        <v>21</v>
      </c>
      <c r="C20" s="7" t="s">
        <v>51</v>
      </c>
    </row>
    <row r="21" spans="1:3">
      <c r="A21" s="31" t="s">
        <v>0</v>
      </c>
      <c r="B21" s="1" t="s">
        <v>23</v>
      </c>
      <c r="C21" s="7" t="s">
        <v>51</v>
      </c>
    </row>
    <row r="22" spans="1:3">
      <c r="A22" s="31"/>
      <c r="B22" s="1" t="s">
        <v>24</v>
      </c>
      <c r="C22" s="7" t="s">
        <v>51</v>
      </c>
    </row>
    <row r="23" spans="1:3">
      <c r="A23" s="31"/>
      <c r="B23" s="1" t="s">
        <v>25</v>
      </c>
      <c r="C23" s="7" t="s">
        <v>51</v>
      </c>
    </row>
    <row r="24" spans="1:3">
      <c r="A24" s="31"/>
      <c r="B24" s="1" t="s">
        <v>26</v>
      </c>
      <c r="C24" s="7" t="s">
        <v>51</v>
      </c>
    </row>
    <row r="25" spans="1:3">
      <c r="A25" s="31"/>
      <c r="B25" s="1" t="s">
        <v>27</v>
      </c>
      <c r="C25" s="7" t="s">
        <v>51</v>
      </c>
    </row>
    <row r="26" spans="1:3">
      <c r="A26" s="31"/>
      <c r="B26" s="1" t="s">
        <v>28</v>
      </c>
      <c r="C26" s="7" t="s">
        <v>51</v>
      </c>
    </row>
    <row r="27" spans="1:3">
      <c r="A27" s="31"/>
      <c r="B27" s="1" t="s">
        <v>29</v>
      </c>
      <c r="C27" s="7" t="s">
        <v>51</v>
      </c>
    </row>
    <row r="28" spans="1:3">
      <c r="A28" s="31"/>
      <c r="B28" s="1" t="s">
        <v>30</v>
      </c>
      <c r="C28" s="7" t="s">
        <v>51</v>
      </c>
    </row>
    <row r="29" spans="1:3">
      <c r="A29" s="31"/>
      <c r="B29" s="9" t="s">
        <v>22</v>
      </c>
      <c r="C29" s="7" t="s">
        <v>51</v>
      </c>
    </row>
    <row r="30" spans="1:3" ht="32">
      <c r="A30" s="29" t="s">
        <v>36</v>
      </c>
      <c r="B30" s="10" t="s">
        <v>35</v>
      </c>
      <c r="C30" s="7" t="s">
        <v>51</v>
      </c>
    </row>
    <row r="31" spans="1:3" ht="32">
      <c r="A31" s="29"/>
      <c r="B31" s="10" t="s">
        <v>33</v>
      </c>
      <c r="C31" s="7" t="s">
        <v>51</v>
      </c>
    </row>
    <row r="32" spans="1:3" ht="32">
      <c r="A32" s="29"/>
      <c r="B32" s="10" t="s">
        <v>34</v>
      </c>
      <c r="C32" s="7" t="s">
        <v>51</v>
      </c>
    </row>
    <row r="33" spans="1:3" ht="32">
      <c r="A33" s="36" t="s">
        <v>39</v>
      </c>
      <c r="B33" s="11" t="s">
        <v>37</v>
      </c>
      <c r="C33" s="7" t="s">
        <v>51</v>
      </c>
    </row>
    <row r="34" spans="1:3" ht="16">
      <c r="A34" s="36"/>
      <c r="B34" s="10" t="s">
        <v>38</v>
      </c>
      <c r="C34" s="7" t="s">
        <v>51</v>
      </c>
    </row>
    <row r="35" spans="1:3" ht="16">
      <c r="A35" s="29" t="s">
        <v>45</v>
      </c>
      <c r="B35" s="10" t="s">
        <v>40</v>
      </c>
      <c r="C35" s="7" t="s">
        <v>51</v>
      </c>
    </row>
    <row r="36" spans="1:3" ht="16">
      <c r="A36" s="29"/>
      <c r="B36" s="10" t="s">
        <v>41</v>
      </c>
      <c r="C36" s="7" t="s">
        <v>51</v>
      </c>
    </row>
    <row r="37" spans="1:3" ht="16">
      <c r="A37" s="29"/>
      <c r="B37" s="10" t="s">
        <v>42</v>
      </c>
      <c r="C37" s="7" t="s">
        <v>51</v>
      </c>
    </row>
    <row r="38" spans="1:3" ht="16">
      <c r="A38" s="29"/>
      <c r="B38" s="10" t="s">
        <v>43</v>
      </c>
      <c r="C38" s="7" t="s">
        <v>51</v>
      </c>
    </row>
    <row r="39" spans="1:3" ht="16">
      <c r="A39" s="29"/>
      <c r="B39" s="10" t="s">
        <v>44</v>
      </c>
      <c r="C39" s="7" t="s">
        <v>51</v>
      </c>
    </row>
    <row r="40" spans="1:3" ht="16">
      <c r="A40" s="29" t="s">
        <v>46</v>
      </c>
      <c r="B40" s="10" t="s">
        <v>47</v>
      </c>
      <c r="C40" s="7" t="s">
        <v>51</v>
      </c>
    </row>
    <row r="41" spans="1:3" ht="32">
      <c r="A41" s="29"/>
      <c r="B41" s="10" t="s">
        <v>48</v>
      </c>
      <c r="C41" s="7" t="s">
        <v>51</v>
      </c>
    </row>
    <row r="42" spans="1:3">
      <c r="B42" s="5"/>
    </row>
  </sheetData>
  <mergeCells count="13">
    <mergeCell ref="A2:C2"/>
    <mergeCell ref="A1:C1"/>
    <mergeCell ref="A30:A32"/>
    <mergeCell ref="A33:A34"/>
    <mergeCell ref="A35:A39"/>
    <mergeCell ref="A40:A41"/>
    <mergeCell ref="A4:A7"/>
    <mergeCell ref="A10:A11"/>
    <mergeCell ref="A12:A14"/>
    <mergeCell ref="A15:A16"/>
    <mergeCell ref="A18:A20"/>
    <mergeCell ref="A21:A29"/>
    <mergeCell ref="A8:A9"/>
  </mergeCells>
  <conditionalFormatting sqref="C4:C41">
    <cfRule type="cellIs" dxfId="17" priority="1" operator="equal">
      <formula>"NC"</formula>
    </cfRule>
    <cfRule type="cellIs" dxfId="16" priority="2" operator="equal">
      <formula>"C"</formula>
    </cfRule>
    <cfRule type="cellIs" dxfId="15" priority="3" operator="equal">
      <formula>"NA"</formula>
    </cfRule>
  </conditionalFormatting>
  <dataValidations count="1">
    <dataValidation type="list" showErrorMessage="1" sqref="C4:C41" xr:uid="{C7BF9060-0386-0D4F-8291-C239A38FAC4E}">
      <formula1>"C,NC,NA,NT"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9BF2A-BEF9-45E3-9076-CF6FB677CA69}">
  <sheetPr codeName="Feuil4"/>
  <dimension ref="A1:M42"/>
  <sheetViews>
    <sheetView zoomScale="115" zoomScaleNormal="115" workbookViewId="0">
      <selection activeCell="A2" sqref="A2:C2"/>
    </sheetView>
  </sheetViews>
  <sheetFormatPr baseColWidth="10" defaultRowHeight="15"/>
  <cols>
    <col min="1" max="1" width="36.6640625" style="2" customWidth="1"/>
    <col min="2" max="2" width="49.5" customWidth="1"/>
    <col min="4" max="4" width="20.1640625" customWidth="1"/>
  </cols>
  <sheetData>
    <row r="1" spans="1:13">
      <c r="A1" s="34" t="s">
        <v>69</v>
      </c>
      <c r="B1" s="35"/>
      <c r="C1" s="35"/>
    </row>
    <row r="2" spans="1:13">
      <c r="A2" s="34" t="str">
        <f>CONCATENATE(Échantillon!B10," : ",Échantillon!C10)</f>
        <v xml:space="preserve"> : </v>
      </c>
      <c r="B2" s="35"/>
      <c r="C2" s="35"/>
    </row>
    <row r="3" spans="1:13" s="15" customFormat="1" ht="16">
      <c r="A3" s="6" t="s">
        <v>1</v>
      </c>
      <c r="B3" s="6" t="s">
        <v>2</v>
      </c>
      <c r="C3" s="6" t="s">
        <v>49</v>
      </c>
      <c r="D3" s="15" t="s">
        <v>50</v>
      </c>
      <c r="E3"/>
      <c r="F3"/>
      <c r="G3"/>
      <c r="H3"/>
      <c r="I3"/>
      <c r="J3"/>
      <c r="K3"/>
      <c r="L3"/>
      <c r="M3"/>
    </row>
    <row r="4" spans="1:13">
      <c r="A4" s="29" t="s">
        <v>6</v>
      </c>
      <c r="B4" s="8" t="s">
        <v>7</v>
      </c>
      <c r="C4" s="7" t="s">
        <v>51</v>
      </c>
    </row>
    <row r="5" spans="1:13">
      <c r="A5" s="29"/>
      <c r="B5" s="8" t="s">
        <v>3</v>
      </c>
      <c r="C5" s="7" t="s">
        <v>51</v>
      </c>
    </row>
    <row r="6" spans="1:13">
      <c r="A6" s="29"/>
      <c r="B6" s="8" t="s">
        <v>4</v>
      </c>
      <c r="C6" s="7" t="s">
        <v>51</v>
      </c>
    </row>
    <row r="7" spans="1:13" ht="30">
      <c r="A7" s="29"/>
      <c r="B7" s="8" t="s">
        <v>5</v>
      </c>
      <c r="C7" s="7" t="s">
        <v>51</v>
      </c>
    </row>
    <row r="8" spans="1:13">
      <c r="A8" s="32" t="s">
        <v>9</v>
      </c>
      <c r="B8" s="1" t="s">
        <v>58</v>
      </c>
      <c r="C8" s="7" t="s">
        <v>51</v>
      </c>
    </row>
    <row r="9" spans="1:13">
      <c r="A9" s="33"/>
      <c r="B9" s="1" t="s">
        <v>59</v>
      </c>
      <c r="C9" s="7" t="s">
        <v>51</v>
      </c>
    </row>
    <row r="10" spans="1:13">
      <c r="A10" s="29" t="s">
        <v>10</v>
      </c>
      <c r="B10" s="1" t="s">
        <v>8</v>
      </c>
      <c r="C10" s="7" t="s">
        <v>51</v>
      </c>
    </row>
    <row r="11" spans="1:13" ht="30">
      <c r="A11" s="29"/>
      <c r="B11" s="1" t="s">
        <v>13</v>
      </c>
      <c r="C11" s="7" t="s">
        <v>51</v>
      </c>
    </row>
    <row r="12" spans="1:13">
      <c r="A12" s="29" t="s">
        <v>11</v>
      </c>
      <c r="B12" s="1" t="s">
        <v>14</v>
      </c>
      <c r="C12" s="7" t="s">
        <v>51</v>
      </c>
    </row>
    <row r="13" spans="1:13">
      <c r="A13" s="29"/>
      <c r="B13" s="1" t="s">
        <v>15</v>
      </c>
      <c r="C13" s="7" t="s">
        <v>51</v>
      </c>
    </row>
    <row r="14" spans="1:13">
      <c r="A14" s="29"/>
      <c r="B14" s="1" t="s">
        <v>16</v>
      </c>
      <c r="C14" s="7" t="s">
        <v>51</v>
      </c>
    </row>
    <row r="15" spans="1:13" ht="30">
      <c r="A15" s="29" t="s">
        <v>12</v>
      </c>
      <c r="B15" s="3" t="s">
        <v>18</v>
      </c>
      <c r="C15" s="7" t="s">
        <v>51</v>
      </c>
    </row>
    <row r="16" spans="1:13" ht="30">
      <c r="A16" s="29"/>
      <c r="B16" s="1" t="s">
        <v>17</v>
      </c>
      <c r="C16" s="7" t="s">
        <v>51</v>
      </c>
    </row>
    <row r="17" spans="1:3" ht="105">
      <c r="A17" s="4" t="s">
        <v>32</v>
      </c>
      <c r="B17" s="1" t="s">
        <v>52</v>
      </c>
      <c r="C17" s="7" t="s">
        <v>51</v>
      </c>
    </row>
    <row r="18" spans="1:3">
      <c r="A18" s="30" t="s">
        <v>31</v>
      </c>
      <c r="B18" s="1" t="s">
        <v>19</v>
      </c>
      <c r="C18" s="7" t="s">
        <v>51</v>
      </c>
    </row>
    <row r="19" spans="1:3">
      <c r="A19" s="30"/>
      <c r="B19" s="1" t="s">
        <v>20</v>
      </c>
      <c r="C19" s="7" t="s">
        <v>51</v>
      </c>
    </row>
    <row r="20" spans="1:3">
      <c r="A20" s="30"/>
      <c r="B20" s="1" t="s">
        <v>21</v>
      </c>
      <c r="C20" s="7" t="s">
        <v>51</v>
      </c>
    </row>
    <row r="21" spans="1:3">
      <c r="A21" s="31" t="s">
        <v>0</v>
      </c>
      <c r="B21" s="1" t="s">
        <v>23</v>
      </c>
      <c r="C21" s="7" t="s">
        <v>51</v>
      </c>
    </row>
    <row r="22" spans="1:3">
      <c r="A22" s="31"/>
      <c r="B22" s="1" t="s">
        <v>24</v>
      </c>
      <c r="C22" s="7" t="s">
        <v>51</v>
      </c>
    </row>
    <row r="23" spans="1:3">
      <c r="A23" s="31"/>
      <c r="B23" s="1" t="s">
        <v>25</v>
      </c>
      <c r="C23" s="7" t="s">
        <v>51</v>
      </c>
    </row>
    <row r="24" spans="1:3">
      <c r="A24" s="31"/>
      <c r="B24" s="1" t="s">
        <v>26</v>
      </c>
      <c r="C24" s="7" t="s">
        <v>51</v>
      </c>
    </row>
    <row r="25" spans="1:3">
      <c r="A25" s="31"/>
      <c r="B25" s="1" t="s">
        <v>27</v>
      </c>
      <c r="C25" s="7" t="s">
        <v>51</v>
      </c>
    </row>
    <row r="26" spans="1:3">
      <c r="A26" s="31"/>
      <c r="B26" s="1" t="s">
        <v>28</v>
      </c>
      <c r="C26" s="7" t="s">
        <v>51</v>
      </c>
    </row>
    <row r="27" spans="1:3">
      <c r="A27" s="31"/>
      <c r="B27" s="1" t="s">
        <v>29</v>
      </c>
      <c r="C27" s="7" t="s">
        <v>51</v>
      </c>
    </row>
    <row r="28" spans="1:3">
      <c r="A28" s="31"/>
      <c r="B28" s="1" t="s">
        <v>30</v>
      </c>
      <c r="C28" s="7" t="s">
        <v>51</v>
      </c>
    </row>
    <row r="29" spans="1:3">
      <c r="A29" s="31"/>
      <c r="B29" s="9" t="s">
        <v>22</v>
      </c>
      <c r="C29" s="7" t="s">
        <v>51</v>
      </c>
    </row>
    <row r="30" spans="1:3" ht="32">
      <c r="A30" s="29" t="s">
        <v>36</v>
      </c>
      <c r="B30" s="10" t="s">
        <v>35</v>
      </c>
      <c r="C30" s="7" t="s">
        <v>51</v>
      </c>
    </row>
    <row r="31" spans="1:3" ht="32">
      <c r="A31" s="29"/>
      <c r="B31" s="10" t="s">
        <v>33</v>
      </c>
      <c r="C31" s="7" t="s">
        <v>51</v>
      </c>
    </row>
    <row r="32" spans="1:3" ht="32">
      <c r="A32" s="29"/>
      <c r="B32" s="10" t="s">
        <v>34</v>
      </c>
      <c r="C32" s="7" t="s">
        <v>51</v>
      </c>
    </row>
    <row r="33" spans="1:3" ht="32">
      <c r="A33" s="36" t="s">
        <v>39</v>
      </c>
      <c r="B33" s="11" t="s">
        <v>37</v>
      </c>
      <c r="C33" s="7" t="s">
        <v>51</v>
      </c>
    </row>
    <row r="34" spans="1:3" ht="16">
      <c r="A34" s="36"/>
      <c r="B34" s="10" t="s">
        <v>38</v>
      </c>
      <c r="C34" s="7" t="s">
        <v>51</v>
      </c>
    </row>
    <row r="35" spans="1:3" ht="16">
      <c r="A35" s="29" t="s">
        <v>45</v>
      </c>
      <c r="B35" s="10" t="s">
        <v>40</v>
      </c>
      <c r="C35" s="7" t="s">
        <v>51</v>
      </c>
    </row>
    <row r="36" spans="1:3" ht="16">
      <c r="A36" s="29"/>
      <c r="B36" s="10" t="s">
        <v>41</v>
      </c>
      <c r="C36" s="7" t="s">
        <v>51</v>
      </c>
    </row>
    <row r="37" spans="1:3" ht="16">
      <c r="A37" s="29"/>
      <c r="B37" s="10" t="s">
        <v>42</v>
      </c>
      <c r="C37" s="7" t="s">
        <v>51</v>
      </c>
    </row>
    <row r="38" spans="1:3" ht="16">
      <c r="A38" s="29"/>
      <c r="B38" s="10" t="s">
        <v>43</v>
      </c>
      <c r="C38" s="7" t="s">
        <v>51</v>
      </c>
    </row>
    <row r="39" spans="1:3" ht="16">
      <c r="A39" s="29"/>
      <c r="B39" s="10" t="s">
        <v>44</v>
      </c>
      <c r="C39" s="7" t="s">
        <v>51</v>
      </c>
    </row>
    <row r="40" spans="1:3" ht="16">
      <c r="A40" s="29" t="s">
        <v>46</v>
      </c>
      <c r="B40" s="10" t="s">
        <v>47</v>
      </c>
      <c r="C40" s="7" t="s">
        <v>51</v>
      </c>
    </row>
    <row r="41" spans="1:3" ht="32">
      <c r="A41" s="29"/>
      <c r="B41" s="10" t="s">
        <v>48</v>
      </c>
      <c r="C41" s="7" t="s">
        <v>51</v>
      </c>
    </row>
    <row r="42" spans="1:3">
      <c r="B42" s="5"/>
    </row>
  </sheetData>
  <mergeCells count="13">
    <mergeCell ref="A40:A41"/>
    <mergeCell ref="A15:A16"/>
    <mergeCell ref="A18:A20"/>
    <mergeCell ref="A21:A29"/>
    <mergeCell ref="A30:A32"/>
    <mergeCell ref="A33:A34"/>
    <mergeCell ref="A35:A39"/>
    <mergeCell ref="A12:A14"/>
    <mergeCell ref="A1:C1"/>
    <mergeCell ref="A2:C2"/>
    <mergeCell ref="A4:A7"/>
    <mergeCell ref="A8:A9"/>
    <mergeCell ref="A10:A11"/>
  </mergeCells>
  <conditionalFormatting sqref="C4:C41">
    <cfRule type="cellIs" dxfId="14" priority="1" operator="equal">
      <formula>"NC"</formula>
    </cfRule>
    <cfRule type="cellIs" dxfId="13" priority="2" operator="equal">
      <formula>"C"</formula>
    </cfRule>
    <cfRule type="cellIs" dxfId="12" priority="3" operator="equal">
      <formula>"NA"</formula>
    </cfRule>
  </conditionalFormatting>
  <dataValidations count="1">
    <dataValidation type="list" showErrorMessage="1" sqref="C4:C41" xr:uid="{A7EFEC8B-1776-43CC-AC8D-A005B7F40249}">
      <formula1>"C,NC,NA,NT"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70EC4-77EB-C449-AD93-96616F6C2EC5}">
  <sheetPr codeName="Feuil12"/>
  <dimension ref="A1:I46"/>
  <sheetViews>
    <sheetView zoomScale="102" workbookViewId="0">
      <selection activeCell="L2" sqref="L2"/>
    </sheetView>
  </sheetViews>
  <sheetFormatPr baseColWidth="10" defaultRowHeight="15"/>
  <cols>
    <col min="1" max="1" width="13.5" customWidth="1"/>
    <col min="3" max="3" width="33.5" customWidth="1"/>
  </cols>
  <sheetData>
    <row r="1" spans="1:9" ht="16">
      <c r="B1" s="22"/>
      <c r="C1" s="22"/>
      <c r="D1" s="12" t="s">
        <v>53</v>
      </c>
      <c r="E1" s="12" t="s">
        <v>54</v>
      </c>
      <c r="F1" s="13" t="s">
        <v>55</v>
      </c>
      <c r="G1" s="13" t="s">
        <v>56</v>
      </c>
      <c r="H1" s="13" t="s">
        <v>57</v>
      </c>
      <c r="I1" s="13" t="s">
        <v>51</v>
      </c>
    </row>
    <row r="2" spans="1:9" ht="30" customHeight="1">
      <c r="A2" s="14" t="s">
        <v>66</v>
      </c>
      <c r="B2" s="21" t="str">
        <f>criteres!B2</f>
        <v>Contient le nom du site</v>
      </c>
      <c r="C2" s="21"/>
      <c r="D2" s="7" t="str">
        <f>'P01'!C4</f>
        <v>NT</v>
      </c>
      <c r="E2" s="7" t="str">
        <f>'P02'!C4</f>
        <v>NT</v>
      </c>
      <c r="F2" s="13">
        <f>COUNTIF(D2:E2,"C")</f>
        <v>0</v>
      </c>
      <c r="G2" s="13">
        <f>COUNTIF(D2:E2,"NC")</f>
        <v>0</v>
      </c>
      <c r="H2" s="13">
        <f>COUNTIF(D2:E2,"NA")</f>
        <v>0</v>
      </c>
      <c r="I2" s="13" t="str">
        <f>'P02'!C4</f>
        <v>NT</v>
      </c>
    </row>
    <row r="3" spans="1:9" ht="60" customHeight="1">
      <c r="A3" s="14" t="s">
        <v>66</v>
      </c>
      <c r="B3" s="21" t="str">
        <f>criteres!B3</f>
        <v>Décrit le contenu ou la fonction de la page</v>
      </c>
      <c r="C3" s="21"/>
      <c r="D3" s="7" t="str">
        <f>'P01'!C5</f>
        <v>NT</v>
      </c>
      <c r="E3" s="7" t="str">
        <f>'P02'!C5</f>
        <v>NT</v>
      </c>
      <c r="F3" s="13">
        <f>COUNTIF(D3:E3,"C")</f>
        <v>0</v>
      </c>
      <c r="G3" s="13">
        <f>COUNTIF(D3:E3,"NC")</f>
        <v>0</v>
      </c>
      <c r="H3" s="13">
        <f>COUNTIF(D3:E3,"NA")</f>
        <v>0</v>
      </c>
      <c r="I3" s="13">
        <f>COUNTIF(D3:E3,"NT")</f>
        <v>2</v>
      </c>
    </row>
    <row r="4" spans="1:9" ht="60" customHeight="1">
      <c r="A4" s="14" t="s">
        <v>66</v>
      </c>
      <c r="B4" s="21" t="str">
        <f>criteres!B4</f>
        <v>Précise quelle est l'étape en cours d'un processus</v>
      </c>
      <c r="C4" s="21"/>
      <c r="D4" s="7" t="str">
        <f>'P01'!C6</f>
        <v>NT</v>
      </c>
      <c r="E4" s="7" t="str">
        <f>'P02'!C6</f>
        <v>NT</v>
      </c>
      <c r="F4" s="13">
        <f>COUNTIF(D4:E4,"C")</f>
        <v>0</v>
      </c>
      <c r="G4" s="13">
        <f>COUNTIF(D4:E4,"NC")</f>
        <v>0</v>
      </c>
      <c r="H4" s="13">
        <f>COUNTIF(D4:E4,"NA")</f>
        <v>0</v>
      </c>
      <c r="I4" s="13">
        <f>COUNTIF(D4:E4,"NT")</f>
        <v>2</v>
      </c>
    </row>
    <row r="5" spans="1:9" ht="120" customHeight="1">
      <c r="A5" s="14" t="s">
        <v>66</v>
      </c>
      <c r="B5" s="21" t="str">
        <f>criteres!B5</f>
        <v>Dans une série de résultats de recherche, précise quel est l'intervalle de résultats affichés.</v>
      </c>
      <c r="C5" s="21"/>
      <c r="D5" s="7" t="str">
        <f>'P01'!C7</f>
        <v>NT</v>
      </c>
      <c r="E5" s="7" t="str">
        <f>'P02'!C7</f>
        <v>NT</v>
      </c>
      <c r="F5" s="13">
        <f>COUNTIF(D5:E5,"C")</f>
        <v>0</v>
      </c>
      <c r="G5" s="13">
        <f>COUNTIF(D5:E5,"NC")</f>
        <v>0</v>
      </c>
      <c r="H5" s="13">
        <f>COUNTIF(D5:E5,"NA")</f>
        <v>0</v>
      </c>
      <c r="I5" s="13">
        <f>COUNTIF(D5:E5,"NT")</f>
        <v>2</v>
      </c>
    </row>
    <row r="6" spans="1:9" ht="60" customHeight="1">
      <c r="A6" s="14" t="s">
        <v>71</v>
      </c>
      <c r="B6" s="21" t="str">
        <f>criteres!B6</f>
        <v>Vérifier que l'alternative textuelle est présente</v>
      </c>
      <c r="C6" s="21"/>
      <c r="D6" s="7" t="str">
        <f>'P01'!C8</f>
        <v>NT</v>
      </c>
      <c r="E6" s="7" t="str">
        <f>'P02'!C8</f>
        <v>NT</v>
      </c>
      <c r="F6" s="13">
        <f>COUNTIF(D6:E6,"C")</f>
        <v>0</v>
      </c>
      <c r="G6" s="13">
        <f>COUNTIF(D6:E6,"NC")</f>
        <v>0</v>
      </c>
      <c r="H6" s="13">
        <f>COUNTIF(D6:E6,"NA")</f>
        <v>0</v>
      </c>
      <c r="I6" s="13">
        <f>COUNTIF(D6:E6,"NT")</f>
        <v>2</v>
      </c>
    </row>
    <row r="7" spans="1:9" ht="60" customHeight="1">
      <c r="A7" s="14" t="s">
        <v>71</v>
      </c>
      <c r="B7" s="21" t="str">
        <f>criteres!B7</f>
        <v>Vérifier que l'alternative textuelle est pertinente</v>
      </c>
      <c r="C7" s="21"/>
      <c r="D7" s="7" t="str">
        <f>'P01'!C9</f>
        <v>NT</v>
      </c>
      <c r="E7" s="7" t="str">
        <f>'P02'!C9</f>
        <v>NT</v>
      </c>
      <c r="F7" s="13">
        <f>COUNTIF(D7:E7,"C")</f>
        <v>0</v>
      </c>
      <c r="G7" s="13">
        <f>COUNTIF(D7:E7,"NC")</f>
        <v>0</v>
      </c>
      <c r="H7" s="13">
        <f>COUNTIF(D7:E7,"NA")</f>
        <v>0</v>
      </c>
      <c r="I7" s="13">
        <f>COUNTIF(D7:E7,"NT")</f>
        <v>2</v>
      </c>
    </row>
    <row r="8" spans="1:9" ht="15.75" customHeight="1">
      <c r="A8" s="14" t="s">
        <v>71</v>
      </c>
      <c r="B8" s="21" t="str">
        <f>criteres!B8</f>
        <v>Vérifier que les images de décoration possèdent un attribut alt vide</v>
      </c>
      <c r="C8" s="21"/>
      <c r="D8" s="7" t="str">
        <f>'P01'!C10</f>
        <v>NT</v>
      </c>
      <c r="E8" s="7" t="str">
        <f>'P02'!C10</f>
        <v>NT</v>
      </c>
      <c r="F8" s="13">
        <f>COUNTIF(D8:E8,"C")</f>
        <v>0</v>
      </c>
      <c r="G8" s="13">
        <f>COUNTIF(D8:E8,"NC")</f>
        <v>0</v>
      </c>
      <c r="H8" s="13">
        <f>COUNTIF(D8:E8,"NA")</f>
        <v>0</v>
      </c>
      <c r="I8" s="13">
        <f>COUNTIF(D8:E8,"NT")</f>
        <v>2</v>
      </c>
    </row>
    <row r="9" spans="1:9" ht="15.75" customHeight="1">
      <c r="A9" s="14" t="s">
        <v>71</v>
      </c>
      <c r="B9" s="21" t="str">
        <f>criteres!B9</f>
        <v>Vérifier que les images de décoration, quand elles le necessitent (SVG), sont  ignorées par les outils d'assistance</v>
      </c>
      <c r="C9" s="21"/>
      <c r="D9" s="7" t="str">
        <f>'P01'!C11</f>
        <v>NT</v>
      </c>
      <c r="E9" s="7" t="str">
        <f>'P02'!C11</f>
        <v>NT</v>
      </c>
      <c r="F9" s="13">
        <f>COUNTIF(D9:E9,"C")</f>
        <v>0</v>
      </c>
      <c r="G9" s="13">
        <f>COUNTIF(D9:E9,"NC")</f>
        <v>0</v>
      </c>
      <c r="H9" s="13">
        <f>COUNTIF(D9:E9,"NA")</f>
        <v>0</v>
      </c>
      <c r="I9" s="13">
        <f>COUNTIF(D9:E9,"NT")</f>
        <v>2</v>
      </c>
    </row>
    <row r="10" spans="1:9" ht="15.75" customHeight="1">
      <c r="A10" s="14" t="s">
        <v>70</v>
      </c>
      <c r="B10" s="21" t="str">
        <f>criteres!B10</f>
        <v>La page doit être structurée selon un ordre logique</v>
      </c>
      <c r="C10" s="21"/>
      <c r="D10" s="7" t="str">
        <f>'P01'!C12</f>
        <v>NT</v>
      </c>
      <c r="E10" s="7" t="str">
        <f>'P02'!C12</f>
        <v>NT</v>
      </c>
      <c r="F10" s="13">
        <f>COUNTIF(D10:E10,"C")</f>
        <v>0</v>
      </c>
      <c r="G10" s="13">
        <f>COUNTIF(D10:E10,"NC")</f>
        <v>0</v>
      </c>
      <c r="H10" s="13">
        <f>COUNTIF(D10:E10,"NA")</f>
        <v>0</v>
      </c>
      <c r="I10" s="13">
        <f>COUNTIF(D10:E10,"NT")</f>
        <v>2</v>
      </c>
    </row>
    <row r="11" spans="1:9" ht="15.75" customHeight="1">
      <c r="A11" s="14" t="s">
        <v>70</v>
      </c>
      <c r="B11" s="21" t="str">
        <f>criteres!B11</f>
        <v>Un titre doit décrire le contenu qu’il introduit</v>
      </c>
      <c r="C11" s="21"/>
      <c r="D11" s="7" t="str">
        <f>'P01'!C13</f>
        <v>NT</v>
      </c>
      <c r="E11" s="7" t="str">
        <f>'P02'!C13</f>
        <v>NT</v>
      </c>
      <c r="F11" s="13">
        <f>COUNTIF(D11:E11,"C")</f>
        <v>0</v>
      </c>
      <c r="G11" s="13">
        <f>COUNTIF(D11:E11,"NC")</f>
        <v>0</v>
      </c>
      <c r="H11" s="13">
        <f>COUNTIF(D11:E11,"NA")</f>
        <v>0</v>
      </c>
      <c r="I11" s="13">
        <f>COUNTIF(D11:E11,"NT")</f>
        <v>2</v>
      </c>
    </row>
    <row r="12" spans="1:9" ht="15.75" customHeight="1">
      <c r="A12" s="14" t="s">
        <v>70</v>
      </c>
      <c r="B12" s="21" t="str">
        <f>criteres!B12</f>
        <v>Pas de titres "simulés" sans valeur sémantique</v>
      </c>
      <c r="C12" s="21"/>
      <c r="D12" s="7" t="str">
        <f>'P01'!C14</f>
        <v>NT</v>
      </c>
      <c r="E12" s="7" t="str">
        <f>'P02'!C14</f>
        <v>NT</v>
      </c>
      <c r="F12" s="13">
        <f>COUNTIF(D12:E12,"C")</f>
        <v>0</v>
      </c>
      <c r="G12" s="13">
        <f>COUNTIF(D12:E12,"NC")</f>
        <v>0</v>
      </c>
      <c r="H12" s="13">
        <f>COUNTIF(D12:E12,"NA")</f>
        <v>0</v>
      </c>
      <c r="I12" s="13">
        <f>COUNTIF(D12:E12,"NT")</f>
        <v>2</v>
      </c>
    </row>
    <row r="13" spans="1:9" ht="15.75" customHeight="1">
      <c r="A13" s="14" t="s">
        <v>72</v>
      </c>
      <c r="B13" s="21" t="str">
        <f>criteres!B13</f>
        <v>Ratio de contraste minimal de 4.5:1 pour les textes de moins de 24px, ou 18.5px en gras</v>
      </c>
      <c r="C13" s="21"/>
      <c r="D13" s="7" t="str">
        <f>'P01'!C15</f>
        <v>NT</v>
      </c>
      <c r="E13" s="7" t="str">
        <f>'P02'!C15</f>
        <v>NT</v>
      </c>
      <c r="F13" s="13">
        <f>COUNTIF(D13:E13,"C")</f>
        <v>0</v>
      </c>
      <c r="G13" s="13">
        <f>COUNTIF(D13:E13,"NC")</f>
        <v>0</v>
      </c>
      <c r="H13" s="13">
        <f>COUNTIF(D13:E13,"NA")</f>
        <v>0</v>
      </c>
      <c r="I13" s="13">
        <f>COUNTIF(D13:E13,"NT")</f>
        <v>2</v>
      </c>
    </row>
    <row r="14" spans="1:9" ht="15.75" customHeight="1">
      <c r="A14" s="14" t="s">
        <v>72</v>
      </c>
      <c r="B14" s="21" t="str">
        <f>criteres!B14</f>
        <v>Ratio de contraste minimal de 3:1 pour les textes de plus de 24px ou 18.5px en gras</v>
      </c>
      <c r="C14" s="21"/>
      <c r="D14" s="7" t="str">
        <f>'P01'!C16</f>
        <v>NT</v>
      </c>
      <c r="E14" s="7" t="str">
        <f>'P02'!C16</f>
        <v>NT</v>
      </c>
      <c r="F14" s="13">
        <f>COUNTIF(D14:E14,"C")</f>
        <v>0</v>
      </c>
      <c r="G14" s="13">
        <f>COUNTIF(D14:E14,"NC")</f>
        <v>0</v>
      </c>
      <c r="H14" s="13">
        <f>COUNTIF(D14:E14,"NA")</f>
        <v>0</v>
      </c>
      <c r="I14" s="13">
        <f>COUNTIF(D14:E14,"NT")</f>
        <v>2</v>
      </c>
    </row>
    <row r="15" spans="1:9" ht="15.75" customHeight="1">
      <c r="A15" s="14" t="s">
        <v>73</v>
      </c>
      <c r="B15" s="21" t="str">
        <f>criteres!B15</f>
        <v>Zoom jusqu'à 200%
- Redimentionnement à 320px de large
- Tous les textes doivent pouvoir être agrandis
- Les textes ou contenus ne doivent pas être coupés
- Les textes ou contenus ne doivent pas se superposer
- Tous les boutons, champs et éléments de contrôles doivent rester visibles et utilisables</v>
      </c>
      <c r="C15" s="21"/>
      <c r="D15" s="7" t="str">
        <f>'P01'!C17</f>
        <v>NT</v>
      </c>
      <c r="E15" s="7" t="str">
        <f>'P02'!C17</f>
        <v>NT</v>
      </c>
      <c r="F15" s="13">
        <f>COUNTIF(D15:E15,"C")</f>
        <v>0</v>
      </c>
      <c r="G15" s="13">
        <f>COUNTIF(D15:E15,"NC")</f>
        <v>0</v>
      </c>
      <c r="H15" s="13">
        <f>COUNTIF(D15:E15,"NA")</f>
        <v>0</v>
      </c>
      <c r="I15" s="13">
        <f>COUNTIF(D15:E15,"NT")</f>
        <v>2</v>
      </c>
    </row>
    <row r="16" spans="1:9" ht="15.75" customHeight="1">
      <c r="A16" s="14" t="s">
        <v>74</v>
      </c>
      <c r="B16" s="21" t="str">
        <f>criteres!B16</f>
        <v>La prise du focus doit être visible</v>
      </c>
      <c r="C16" s="21"/>
      <c r="D16" s="7" t="str">
        <f>'P01'!C18</f>
        <v>NT</v>
      </c>
      <c r="E16" s="7" t="str">
        <f>'P02'!C18</f>
        <v>NT</v>
      </c>
      <c r="F16" s="13">
        <f>COUNTIF(D16:E16,"C")</f>
        <v>0</v>
      </c>
      <c r="G16" s="13">
        <f>COUNTIF(D16:E16,"NC")</f>
        <v>0</v>
      </c>
      <c r="H16" s="13">
        <f>COUNTIF(D16:E16,"NA")</f>
        <v>0</v>
      </c>
      <c r="I16" s="13">
        <f>COUNTIF(D16:E16,"NT")</f>
        <v>2</v>
      </c>
    </row>
    <row r="17" spans="1:9" ht="15.75" customHeight="1">
      <c r="A17" s="14" t="s">
        <v>74</v>
      </c>
      <c r="B17" s="21" t="str">
        <f>criteres!B17</f>
        <v>Un menu d'évitement est présent</v>
      </c>
      <c r="C17" s="21"/>
      <c r="D17" s="7" t="str">
        <f>'P01'!C19</f>
        <v>NT</v>
      </c>
      <c r="E17" s="7" t="str">
        <f>'P02'!C19</f>
        <v>NT</v>
      </c>
      <c r="F17" s="13">
        <f>COUNTIF(D17:E17,"C")</f>
        <v>0</v>
      </c>
      <c r="G17" s="13">
        <f>COUNTIF(D17:E17,"NC")</f>
        <v>0</v>
      </c>
      <c r="H17" s="13">
        <f>COUNTIF(D17:E17,"NA")</f>
        <v>0</v>
      </c>
      <c r="I17" s="13">
        <f>COUNTIF(D17:E17,"NT")</f>
        <v>2</v>
      </c>
    </row>
    <row r="18" spans="1:9" ht="15.75" customHeight="1">
      <c r="A18" s="14" t="s">
        <v>74</v>
      </c>
      <c r="B18" s="21" t="str">
        <f>criteres!B18</f>
        <v>Tous les composants doivent fonctionner au clavier</v>
      </c>
      <c r="C18" s="21"/>
      <c r="D18" s="7" t="str">
        <f>'P01'!C20</f>
        <v>NT</v>
      </c>
      <c r="E18" s="7" t="str">
        <f>'P02'!C20</f>
        <v>NT</v>
      </c>
      <c r="F18" s="13">
        <f>COUNTIF(D18:E18,"C")</f>
        <v>0</v>
      </c>
      <c r="G18" s="13">
        <f>COUNTIF(D18:E18,"NC")</f>
        <v>0</v>
      </c>
      <c r="H18" s="13">
        <f>COUNTIF(D18:E18,"NA")</f>
        <v>0</v>
      </c>
      <c r="I18" s="13">
        <f>COUNTIF(D18:E18,"NT")</f>
        <v>2</v>
      </c>
    </row>
    <row r="19" spans="1:9" ht="30" customHeight="1">
      <c r="A19" s="14" t="s">
        <v>0</v>
      </c>
      <c r="B19" s="21" t="str">
        <f>criteres!B19</f>
        <v>Chaque champ est associé à son label</v>
      </c>
      <c r="C19" s="21"/>
      <c r="D19" s="7" t="str">
        <f>'P01'!C21</f>
        <v>NT</v>
      </c>
      <c r="E19" s="7" t="str">
        <f>'P02'!C21</f>
        <v>NT</v>
      </c>
      <c r="F19" s="13">
        <f>COUNTIF(D19:E19,"C")</f>
        <v>0</v>
      </c>
      <c r="G19" s="13">
        <f>COUNTIF(D19:E19,"NC")</f>
        <v>0</v>
      </c>
      <c r="H19" s="13">
        <f>COUNTIF(D19:E19,"NA")</f>
        <v>0</v>
      </c>
      <c r="I19" s="13">
        <f>COUNTIF(D19:E19,"NT")</f>
        <v>2</v>
      </c>
    </row>
    <row r="20" spans="1:9" ht="30" customHeight="1">
      <c r="A20" s="14" t="s">
        <v>0</v>
      </c>
      <c r="B20" s="21" t="str">
        <f>criteres!B20</f>
        <v>Les labels sont visuellement accolés à leurs champs</v>
      </c>
      <c r="C20" s="21"/>
      <c r="D20" s="7" t="str">
        <f>'P01'!C22</f>
        <v>NT</v>
      </c>
      <c r="E20" s="7" t="str">
        <f>'P02'!C22</f>
        <v>NT</v>
      </c>
      <c r="F20" s="13">
        <f>COUNTIF(D20:E20,"C")</f>
        <v>0</v>
      </c>
      <c r="G20" s="13">
        <f>COUNTIF(D20:E20,"NC")</f>
        <v>0</v>
      </c>
      <c r="H20" s="13">
        <f>COUNTIF(D20:E20,"NA")</f>
        <v>0</v>
      </c>
      <c r="I20" s="13">
        <f>COUNTIF(D20:E20,"NT")</f>
        <v>2</v>
      </c>
    </row>
    <row r="21" spans="1:9" ht="30" customHeight="1">
      <c r="A21" s="14" t="s">
        <v>0</v>
      </c>
      <c r="B21" s="21" t="str">
        <f>criteres!B21</f>
        <v>Les champs obligatoires sont indiqués et associés aux champs</v>
      </c>
      <c r="C21" s="21"/>
      <c r="D21" s="7" t="str">
        <f>'P01'!C23</f>
        <v>NT</v>
      </c>
      <c r="E21" s="7" t="str">
        <f>'P02'!C23</f>
        <v>NT</v>
      </c>
      <c r="F21" s="13">
        <f>COUNTIF(D21:E21,"C")</f>
        <v>0</v>
      </c>
      <c r="G21" s="13">
        <f>COUNTIF(D21:E21,"NC")</f>
        <v>0</v>
      </c>
      <c r="H21" s="13">
        <f>COUNTIF(D21:E21,"NA")</f>
        <v>0</v>
      </c>
      <c r="I21" s="13">
        <f>COUNTIF(D21:E21,"NT")</f>
        <v>2</v>
      </c>
    </row>
    <row r="22" spans="1:9" ht="30" customHeight="1">
      <c r="A22" s="14" t="s">
        <v>0</v>
      </c>
      <c r="B22" s="21" t="str">
        <f>criteres!B22</f>
        <v>Les champs de même nature sont regroupés</v>
      </c>
      <c r="C22" s="21"/>
      <c r="D22" s="7" t="str">
        <f>'P01'!C24</f>
        <v>NT</v>
      </c>
      <c r="E22" s="7" t="str">
        <f>'P02'!C24</f>
        <v>NT</v>
      </c>
      <c r="F22" s="13">
        <f>COUNTIF(D22:E22,"C")</f>
        <v>0</v>
      </c>
      <c r="G22" s="13">
        <f>COUNTIF(D22:E22,"NC")</f>
        <v>0</v>
      </c>
      <c r="H22" s="13">
        <f>COUNTIF(D22:E22,"NA")</f>
        <v>0</v>
      </c>
      <c r="I22" s="13">
        <f>COUNTIF(D22:E22,"NT")</f>
        <v>2</v>
      </c>
    </row>
    <row r="23" spans="1:9" ht="30" customHeight="1">
      <c r="A23" s="14" t="s">
        <v>0</v>
      </c>
      <c r="B23" s="21" t="str">
        <f>criteres!B23</f>
        <v>Le format attendu pour les champs est indiqués (avant validation)</v>
      </c>
      <c r="C23" s="21"/>
      <c r="D23" s="7" t="str">
        <f>'P01'!C25</f>
        <v>NT</v>
      </c>
      <c r="E23" s="7" t="str">
        <f>'P02'!C25</f>
        <v>NT</v>
      </c>
      <c r="F23" s="13">
        <f>COUNTIF(D23:E23,"C")</f>
        <v>0</v>
      </c>
      <c r="G23" s="13">
        <f>COUNTIF(D23:E23,"NC")</f>
        <v>0</v>
      </c>
      <c r="H23" s="13">
        <f>COUNTIF(D23:E23,"NA")</f>
        <v>0</v>
      </c>
      <c r="I23" s="13">
        <f>COUNTIF(D23:E23,"NT")</f>
        <v>2</v>
      </c>
    </row>
    <row r="24" spans="1:9" ht="30" customHeight="1">
      <c r="A24" s="14" t="s">
        <v>0</v>
      </c>
      <c r="B24" s="21" t="str">
        <f>criteres!B24</f>
        <v>Un exemple de saisie valide est proposé</v>
      </c>
      <c r="C24" s="21"/>
      <c r="D24" s="7" t="str">
        <f>'P01'!C26</f>
        <v>NT</v>
      </c>
      <c r="E24" s="7" t="str">
        <f>'P02'!C26</f>
        <v>NT</v>
      </c>
      <c r="F24" s="13">
        <f>COUNTIF(D24:E24,"C")</f>
        <v>0</v>
      </c>
      <c r="G24" s="13">
        <f>COUNTIF(D24:E24,"NC")</f>
        <v>0</v>
      </c>
      <c r="H24" s="13">
        <f>COUNTIF(D24:E24,"NA")</f>
        <v>0</v>
      </c>
      <c r="I24" s="13">
        <f>COUNTIF(D24:E24,"NT")</f>
        <v>2</v>
      </c>
    </row>
    <row r="25" spans="1:9" ht="30" customHeight="1">
      <c r="A25" s="14" t="s">
        <v>0</v>
      </c>
      <c r="B25" s="21" t="str">
        <f>criteres!B25</f>
        <v>Les champs correctement renseignés ne doivent pas être réinitialisés</v>
      </c>
      <c r="C25" s="21"/>
      <c r="D25" s="7" t="str">
        <f>'P01'!C27</f>
        <v>NT</v>
      </c>
      <c r="E25" s="7" t="str">
        <f>'P02'!C27</f>
        <v>NT</v>
      </c>
      <c r="F25" s="13">
        <f>COUNTIF(D25:E25,"C")</f>
        <v>0</v>
      </c>
      <c r="G25" s="13">
        <f>COUNTIF(D25:E25,"NC")</f>
        <v>0</v>
      </c>
      <c r="H25" s="13">
        <f>COUNTIF(D25:E25,"NA")</f>
        <v>0</v>
      </c>
      <c r="I25" s="13">
        <f>COUNTIF(D25:E25,"NT")</f>
        <v>2</v>
      </c>
    </row>
    <row r="26" spans="1:9" ht="30" customHeight="1">
      <c r="A26" s="14" t="s">
        <v>0</v>
      </c>
      <c r="B26" s="21" t="str">
        <f>criteres!B26</f>
        <v>Les erreurs sont clairement indiquées et reliées aux champs</v>
      </c>
      <c r="C26" s="21"/>
      <c r="D26" s="7" t="str">
        <f>'P01'!C28</f>
        <v>NT</v>
      </c>
      <c r="E26" s="7" t="str">
        <f>'P02'!C28</f>
        <v>NT</v>
      </c>
      <c r="F26" s="13">
        <f>COUNTIF(D26:E26,"C")</f>
        <v>0</v>
      </c>
      <c r="G26" s="13">
        <f>COUNTIF(D26:E26,"NC")</f>
        <v>0</v>
      </c>
      <c r="H26" s="13">
        <f>COUNTIF(D26:E26,"NA")</f>
        <v>0</v>
      </c>
      <c r="I26" s="13">
        <f>COUNTIF(D26:E26,"NT")</f>
        <v>2</v>
      </c>
    </row>
    <row r="27" spans="1:9" ht="30" customHeight="1">
      <c r="A27" s="14" t="s">
        <v>0</v>
      </c>
      <c r="B27" s="21" t="str">
        <f>criteres!B27</f>
        <v>Utilisation d'autocomplete</v>
      </c>
      <c r="C27" s="21"/>
      <c r="D27" s="7" t="str">
        <f>'P01'!C29</f>
        <v>NT</v>
      </c>
      <c r="E27" s="7" t="str">
        <f>'P02'!C29</f>
        <v>NT</v>
      </c>
      <c r="F27" s="13">
        <f>COUNTIF(D27:E27,"C")</f>
        <v>0</v>
      </c>
      <c r="G27" s="13">
        <f>COUNTIF(D27:E27,"NC")</f>
        <v>0</v>
      </c>
      <c r="H27" s="13">
        <f>COUNTIF(D27:E27,"NA")</f>
        <v>0</v>
      </c>
      <c r="I27" s="13">
        <f>COUNTIF(D27:E27,"NT")</f>
        <v>2</v>
      </c>
    </row>
    <row r="28" spans="1:9" ht="15.75" customHeight="1">
      <c r="A28" s="14" t="s">
        <v>75</v>
      </c>
      <c r="B28" s="21" t="str">
        <f>criteres!B28</f>
        <v>Les animations visuelles de plus de 5 secondes et les sons de plus de 3 secondes doivent être dotés de moyen de contrôles.</v>
      </c>
      <c r="C28" s="21"/>
      <c r="D28" s="7" t="str">
        <f>'P01'!C30</f>
        <v>NT</v>
      </c>
      <c r="E28" s="7" t="str">
        <f>'P02'!C30</f>
        <v>NT</v>
      </c>
      <c r="F28" s="13">
        <f>COUNTIF(D28:E28,"C")</f>
        <v>0</v>
      </c>
      <c r="G28" s="13">
        <f>COUNTIF(D28:E28,"NC")</f>
        <v>0</v>
      </c>
      <c r="H28" s="13">
        <f>COUNTIF(D28:E28,"NA")</f>
        <v>0</v>
      </c>
      <c r="I28" s="13">
        <f>COUNTIF(D28:E28,"NT")</f>
        <v>2</v>
      </c>
    </row>
    <row r="29" spans="1:9" ht="15.75" customHeight="1">
      <c r="A29" s="14" t="s">
        <v>75</v>
      </c>
      <c r="B29" s="21" t="str">
        <f>criteres!B29</f>
        <v xml:space="preserve">Laisser à l'utilisateur le contrôle des animations
</v>
      </c>
      <c r="C29" s="21"/>
      <c r="D29" s="7" t="str">
        <f>'P01'!C31</f>
        <v>NT</v>
      </c>
      <c r="E29" s="7" t="str">
        <f>'P02'!C31</f>
        <v>NT</v>
      </c>
      <c r="F29" s="13">
        <f>COUNTIF(D29:E29,"C")</f>
        <v>0</v>
      </c>
      <c r="G29" s="13">
        <f>COUNTIF(D29:E29,"NC")</f>
        <v>0</v>
      </c>
      <c r="H29" s="13">
        <f>COUNTIF(D29:E29,"NA")</f>
        <v>0</v>
      </c>
      <c r="I29" s="13">
        <f>COUNTIF(D29:E29,"NT")</f>
        <v>2</v>
      </c>
    </row>
    <row r="30" spans="1:9" ht="18.75" customHeight="1">
      <c r="A30" s="14" t="s">
        <v>75</v>
      </c>
      <c r="B30" s="21" t="str">
        <f>criteres!B30</f>
        <v>Utilisation de prefers-reduced-motion pour déterminer si les animations sont activées</v>
      </c>
      <c r="C30" s="21"/>
      <c r="D30" s="7" t="str">
        <f>'P01'!C32</f>
        <v>NT</v>
      </c>
      <c r="E30" s="7" t="str">
        <f>'P02'!C32</f>
        <v>NT</v>
      </c>
      <c r="F30" s="13">
        <f>COUNTIF(D30:E30,"C")</f>
        <v>0</v>
      </c>
      <c r="G30" s="13">
        <f>COUNTIF(D30:E30,"NC")</f>
        <v>0</v>
      </c>
      <c r="H30" s="13">
        <f>COUNTIF(D30:E30,"NA")</f>
        <v>0</v>
      </c>
      <c r="I30" s="13">
        <f>COUNTIF(D30:E30,"NT")</f>
        <v>2</v>
      </c>
    </row>
    <row r="31" spans="1:9" ht="15.75" customHeight="1">
      <c r="A31" s="14" t="s">
        <v>76</v>
      </c>
      <c r="B31" s="21" t="str">
        <f>criteres!B31</f>
        <v>Les éléments multimédias doivent pouvoir être contrôlés au clavier</v>
      </c>
      <c r="C31" s="21"/>
      <c r="D31" s="7" t="str">
        <f>'P01'!C33</f>
        <v>NT</v>
      </c>
      <c r="E31" s="7" t="str">
        <f>'P02'!C33</f>
        <v>NT</v>
      </c>
      <c r="F31" s="13">
        <f>COUNTIF(D31:E31,"C")</f>
        <v>0</v>
      </c>
      <c r="G31" s="13">
        <f>COUNTIF(D31:E31,"NC")</f>
        <v>0</v>
      </c>
      <c r="H31" s="13">
        <f>COUNTIF(D31:E31,"NA")</f>
        <v>0</v>
      </c>
      <c r="I31" s="13">
        <f>COUNTIF(D31:E31,"NT")</f>
        <v>2</v>
      </c>
    </row>
    <row r="32" spans="1:9" ht="15.75" customHeight="1">
      <c r="A32" s="14" t="s">
        <v>76</v>
      </c>
      <c r="B32" s="21" t="str">
        <f>criteres!B32</f>
        <v>Vérifier la présence de sous-titre et de transcription</v>
      </c>
      <c r="C32" s="21"/>
      <c r="D32" s="7" t="str">
        <f>'P01'!C34</f>
        <v>NT</v>
      </c>
      <c r="E32" s="7" t="str">
        <f>'P02'!C34</f>
        <v>NT</v>
      </c>
      <c r="F32" s="13">
        <f>COUNTIF(D32:E32,"C")</f>
        <v>0</v>
      </c>
      <c r="G32" s="13">
        <f>COUNTIF(D32:E32,"NC")</f>
        <v>0</v>
      </c>
      <c r="H32" s="13">
        <f>COUNTIF(D32:E32,"NA")</f>
        <v>0</v>
      </c>
      <c r="I32" s="13">
        <f>COUNTIF(D32:E32,"NT")</f>
        <v>2</v>
      </c>
    </row>
    <row r="33" spans="1:9" ht="30" customHeight="1">
      <c r="A33" s="14" t="s">
        <v>77</v>
      </c>
      <c r="B33" s="21" t="str">
        <f>criteres!B33</f>
        <v>Zone d’en-tête : &lt;header role="banner"&gt;</v>
      </c>
      <c r="C33" s="21"/>
      <c r="D33" s="7" t="str">
        <f>'P01'!C35</f>
        <v>NT</v>
      </c>
      <c r="E33" s="7" t="str">
        <f>'P02'!C35</f>
        <v>NT</v>
      </c>
      <c r="F33" s="13">
        <f>COUNTIF(D33:E33,"C")</f>
        <v>0</v>
      </c>
      <c r="G33" s="13">
        <f>COUNTIF(D33:E33,"NC")</f>
        <v>0</v>
      </c>
      <c r="H33" s="13">
        <f>COUNTIF(D33:E33,"NA")</f>
        <v>0</v>
      </c>
      <c r="I33" s="13">
        <f>COUNTIF(D33:E33,"NT")</f>
        <v>2</v>
      </c>
    </row>
    <row r="34" spans="1:9" ht="15.75" customHeight="1">
      <c r="A34" s="14" t="s">
        <v>77</v>
      </c>
      <c r="B34" s="21" t="str">
        <f>criteres!B34</f>
        <v>Menu de navigation principal : &lt;nav role="navigation”&gt;</v>
      </c>
      <c r="C34" s="21"/>
      <c r="D34" s="7" t="str">
        <f>'P01'!C36</f>
        <v>NT</v>
      </c>
      <c r="E34" s="7" t="str">
        <f>'P02'!C36</f>
        <v>NT</v>
      </c>
      <c r="F34" s="13">
        <f>COUNTIF(D34:E34,"C")</f>
        <v>0</v>
      </c>
      <c r="G34" s="13">
        <f>COUNTIF(D34:E34,"NC")</f>
        <v>0</v>
      </c>
      <c r="H34" s="13">
        <f>COUNTIF(D34:E34,"NA")</f>
        <v>0</v>
      </c>
      <c r="I34" s="13">
        <f>COUNTIF(D34:E34,"NT")</f>
        <v>2</v>
      </c>
    </row>
    <row r="35" spans="1:9" ht="15.75" customHeight="1">
      <c r="A35" s="14" t="s">
        <v>77</v>
      </c>
      <c r="B35" s="21" t="str">
        <f>criteres!B35</f>
        <v>Contenu principal : &lt;main role="main"&gt;</v>
      </c>
      <c r="C35" s="21"/>
      <c r="D35" s="7" t="str">
        <f>'P01'!C37</f>
        <v>NT</v>
      </c>
      <c r="E35" s="7" t="str">
        <f>'P02'!C37</f>
        <v>NT</v>
      </c>
      <c r="F35" s="13">
        <f>COUNTIF(D35:E35,"C")</f>
        <v>0</v>
      </c>
      <c r="G35" s="13">
        <f>COUNTIF(D35:E35,"NC")</f>
        <v>0</v>
      </c>
      <c r="H35" s="13">
        <f>COUNTIF(D35:E35,"NA")</f>
        <v>0</v>
      </c>
      <c r="I35" s="13">
        <f>COUNTIF(D35:E35,"NT")</f>
        <v>2</v>
      </c>
    </row>
    <row r="36" spans="1:9" ht="15.75" customHeight="1">
      <c r="A36" s="14" t="s">
        <v>77</v>
      </c>
      <c r="B36" s="21" t="str">
        <f>criteres!B36</f>
        <v>Pied de page : &lt;footer role="contentinfo"&gt;</v>
      </c>
      <c r="C36" s="21"/>
      <c r="D36" s="7" t="str">
        <f>'P01'!C38</f>
        <v>NT</v>
      </c>
      <c r="E36" s="7" t="str">
        <f>'P02'!C38</f>
        <v>NT</v>
      </c>
      <c r="F36" s="13">
        <f>COUNTIF(D36:E36,"C")</f>
        <v>0</v>
      </c>
      <c r="G36" s="13">
        <f>COUNTIF(D36:E36,"NC")</f>
        <v>0</v>
      </c>
      <c r="H36" s="13">
        <f>COUNTIF(D36:E36,"NA")</f>
        <v>0</v>
      </c>
      <c r="I36" s="13">
        <f>COUNTIF(D36:E36,"NT")</f>
        <v>2</v>
      </c>
    </row>
    <row r="37" spans="1:9" ht="15.75" customHeight="1">
      <c r="A37" s="14" t="s">
        <v>77</v>
      </c>
      <c r="B37" s="21" t="str">
        <f>criteres!B37</f>
        <v>Moteur de recherche : &lt;search role="search&gt;</v>
      </c>
      <c r="C37" s="21"/>
      <c r="D37" s="7" t="str">
        <f>'P01'!C39</f>
        <v>NT</v>
      </c>
      <c r="E37" s="7" t="str">
        <f>'P02'!C39</f>
        <v>NT</v>
      </c>
      <c r="F37" s="13">
        <f>COUNTIF(D37:E37,"C")</f>
        <v>0</v>
      </c>
      <c r="G37" s="13">
        <f>COUNTIF(D37:E37,"NC")</f>
        <v>0</v>
      </c>
      <c r="H37" s="13">
        <f>COUNTIF(D37:E37,"NA")</f>
        <v>0</v>
      </c>
      <c r="I37" s="13">
        <f>COUNTIF(D37:E37,"NT")</f>
        <v>2</v>
      </c>
    </row>
    <row r="38" spans="1:9" ht="15.75" customHeight="1">
      <c r="A38" s="14" t="s">
        <v>78</v>
      </c>
      <c r="B38" s="21" t="str">
        <f>criteres!B38</f>
        <v>Vérifier la présence d'un attribut lang sur la balise html</v>
      </c>
      <c r="C38" s="21"/>
      <c r="D38" s="7" t="str">
        <f>'P01'!C40</f>
        <v>NT</v>
      </c>
      <c r="E38" s="7" t="str">
        <f>'P02'!C40</f>
        <v>NT</v>
      </c>
      <c r="F38" s="13">
        <f>COUNTIF(D38:E38,"C")</f>
        <v>0</v>
      </c>
      <c r="G38" s="13">
        <f>COUNTIF(D38:E38,"NC")</f>
        <v>0</v>
      </c>
      <c r="H38" s="13">
        <f>COUNTIF(D38:E38,"NA")</f>
        <v>0</v>
      </c>
      <c r="I38" s="13">
        <f>COUNTIF(D38:E38,"NT")</f>
        <v>2</v>
      </c>
    </row>
    <row r="39" spans="1:9">
      <c r="B39" s="21"/>
      <c r="C39" s="21"/>
    </row>
    <row r="40" spans="1:9">
      <c r="B40" s="21"/>
      <c r="C40" s="21"/>
    </row>
    <row r="41" spans="1:9">
      <c r="B41" s="21"/>
      <c r="C41" s="21"/>
    </row>
    <row r="42" spans="1:9">
      <c r="B42" s="21"/>
      <c r="C42" s="21"/>
    </row>
    <row r="43" spans="1:9">
      <c r="B43" s="21"/>
      <c r="C43" s="21"/>
    </row>
    <row r="44" spans="1:9">
      <c r="B44" s="21"/>
      <c r="C44" s="21"/>
    </row>
    <row r="45" spans="1:9">
      <c r="B45" s="21"/>
      <c r="C45" s="21"/>
    </row>
    <row r="46" spans="1:9">
      <c r="B46" s="21"/>
      <c r="C46" s="21"/>
    </row>
  </sheetData>
  <mergeCells count="46">
    <mergeCell ref="B12:C12"/>
    <mergeCell ref="B7:C7"/>
    <mergeCell ref="B8:C8"/>
    <mergeCell ref="B9:C9"/>
    <mergeCell ref="B10:C10"/>
    <mergeCell ref="B11:C11"/>
    <mergeCell ref="B2:C2"/>
    <mergeCell ref="B3:C3"/>
    <mergeCell ref="B4:C4"/>
    <mergeCell ref="B5:C5"/>
    <mergeCell ref="B6:C6"/>
    <mergeCell ref="B21:C21"/>
    <mergeCell ref="B22:C22"/>
    <mergeCell ref="B23:C23"/>
    <mergeCell ref="B24:C24"/>
    <mergeCell ref="B13:C13"/>
    <mergeCell ref="B16:C16"/>
    <mergeCell ref="B17:C17"/>
    <mergeCell ref="B18:C18"/>
    <mergeCell ref="B19:C19"/>
    <mergeCell ref="B20:C20"/>
    <mergeCell ref="B1:C1"/>
    <mergeCell ref="B37:C37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25:C25"/>
    <mergeCell ref="B14:C14"/>
    <mergeCell ref="B15:C15"/>
    <mergeCell ref="B44:C44"/>
    <mergeCell ref="B45:C45"/>
    <mergeCell ref="B46:C46"/>
    <mergeCell ref="B38:C38"/>
    <mergeCell ref="B39:C39"/>
    <mergeCell ref="B40:C40"/>
    <mergeCell ref="B41:C41"/>
    <mergeCell ref="B42:C42"/>
    <mergeCell ref="B43:C43"/>
  </mergeCells>
  <conditionalFormatting sqref="D2:E38">
    <cfRule type="cellIs" dxfId="11" priority="7" operator="equal">
      <formula>"NC"</formula>
    </cfRule>
    <cfRule type="cellIs" dxfId="10" priority="8" operator="equal">
      <formula>"C"</formula>
    </cfRule>
    <cfRule type="cellIs" dxfId="9" priority="9" operator="equal">
      <formula>"NA"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BFA43-5737-4336-BFE1-D2D9E052788B}">
  <sheetPr codeName="Feuil24"/>
  <dimension ref="A1:D40"/>
  <sheetViews>
    <sheetView zoomScaleNormal="100" workbookViewId="0">
      <selection activeCell="C2" sqref="C2"/>
    </sheetView>
  </sheetViews>
  <sheetFormatPr baseColWidth="10" defaultRowHeight="15"/>
  <cols>
    <col min="1" max="1" width="36.6640625" style="2" customWidth="1"/>
    <col min="2" max="2" width="49.5" customWidth="1"/>
  </cols>
  <sheetData>
    <row r="1" spans="1:4" s="6" customFormat="1" ht="16">
      <c r="A1" s="6" t="s">
        <v>1</v>
      </c>
      <c r="B1" s="6" t="s">
        <v>2</v>
      </c>
      <c r="C1" s="6" t="s">
        <v>49</v>
      </c>
      <c r="D1" s="6" t="s">
        <v>50</v>
      </c>
    </row>
    <row r="2" spans="1:4">
      <c r="A2" s="29" t="s">
        <v>6</v>
      </c>
      <c r="B2" s="8" t="s">
        <v>7</v>
      </c>
      <c r="C2" s="7" t="s">
        <v>51</v>
      </c>
    </row>
    <row r="3" spans="1:4">
      <c r="A3" s="29"/>
      <c r="B3" s="8" t="s">
        <v>3</v>
      </c>
      <c r="C3" s="7" t="s">
        <v>51</v>
      </c>
    </row>
    <row r="4" spans="1:4">
      <c r="A4" s="29"/>
      <c r="B4" s="8" t="s">
        <v>4</v>
      </c>
      <c r="C4" s="7" t="s">
        <v>51</v>
      </c>
    </row>
    <row r="5" spans="1:4" ht="30">
      <c r="A5" s="29"/>
      <c r="B5" s="8" t="s">
        <v>5</v>
      </c>
      <c r="C5" s="7" t="s">
        <v>51</v>
      </c>
    </row>
    <row r="6" spans="1:4">
      <c r="A6" s="32" t="s">
        <v>9</v>
      </c>
      <c r="B6" s="1" t="s">
        <v>58</v>
      </c>
      <c r="C6" s="7" t="s">
        <v>51</v>
      </c>
    </row>
    <row r="7" spans="1:4">
      <c r="A7" s="33"/>
      <c r="B7" s="1" t="s">
        <v>59</v>
      </c>
      <c r="C7" s="7" t="s">
        <v>51</v>
      </c>
    </row>
    <row r="8" spans="1:4">
      <c r="A8" s="29" t="s">
        <v>10</v>
      </c>
      <c r="B8" s="1" t="s">
        <v>8</v>
      </c>
      <c r="C8" s="7" t="s">
        <v>51</v>
      </c>
    </row>
    <row r="9" spans="1:4" ht="30">
      <c r="A9" s="29"/>
      <c r="B9" s="1" t="s">
        <v>13</v>
      </c>
      <c r="C9" s="7" t="s">
        <v>51</v>
      </c>
    </row>
    <row r="10" spans="1:4">
      <c r="A10" s="29" t="s">
        <v>11</v>
      </c>
      <c r="B10" s="1" t="s">
        <v>14</v>
      </c>
      <c r="C10" s="7" t="s">
        <v>51</v>
      </c>
    </row>
    <row r="11" spans="1:4">
      <c r="A11" s="29"/>
      <c r="B11" s="1" t="s">
        <v>15</v>
      </c>
      <c r="C11" s="7" t="s">
        <v>51</v>
      </c>
    </row>
    <row r="12" spans="1:4">
      <c r="A12" s="29"/>
      <c r="B12" s="1" t="s">
        <v>16</v>
      </c>
      <c r="C12" s="7" t="s">
        <v>51</v>
      </c>
    </row>
    <row r="13" spans="1:4" ht="30">
      <c r="A13" s="29" t="s">
        <v>12</v>
      </c>
      <c r="B13" s="3" t="s">
        <v>18</v>
      </c>
      <c r="C13" s="7" t="s">
        <v>51</v>
      </c>
    </row>
    <row r="14" spans="1:4" ht="30">
      <c r="A14" s="29"/>
      <c r="B14" s="1" t="s">
        <v>17</v>
      </c>
      <c r="C14" s="7" t="s">
        <v>51</v>
      </c>
    </row>
    <row r="15" spans="1:4" ht="105">
      <c r="A15" s="4" t="s">
        <v>32</v>
      </c>
      <c r="B15" s="1" t="s">
        <v>52</v>
      </c>
      <c r="C15" s="7" t="s">
        <v>51</v>
      </c>
    </row>
    <row r="16" spans="1:4">
      <c r="A16" s="30" t="s">
        <v>31</v>
      </c>
      <c r="B16" s="1" t="s">
        <v>19</v>
      </c>
      <c r="C16" s="7" t="s">
        <v>51</v>
      </c>
    </row>
    <row r="17" spans="1:3">
      <c r="A17" s="30"/>
      <c r="B17" s="1" t="s">
        <v>20</v>
      </c>
      <c r="C17" s="7" t="s">
        <v>51</v>
      </c>
    </row>
    <row r="18" spans="1:3">
      <c r="A18" s="30"/>
      <c r="B18" s="1" t="s">
        <v>21</v>
      </c>
      <c r="C18" s="7" t="s">
        <v>51</v>
      </c>
    </row>
    <row r="19" spans="1:3">
      <c r="A19" s="31" t="s">
        <v>0</v>
      </c>
      <c r="B19" s="1" t="s">
        <v>23</v>
      </c>
      <c r="C19" s="7" t="s">
        <v>51</v>
      </c>
    </row>
    <row r="20" spans="1:3">
      <c r="A20" s="31"/>
      <c r="B20" s="1" t="s">
        <v>24</v>
      </c>
      <c r="C20" s="7" t="s">
        <v>51</v>
      </c>
    </row>
    <row r="21" spans="1:3">
      <c r="A21" s="31"/>
      <c r="B21" s="1" t="s">
        <v>25</v>
      </c>
      <c r="C21" s="7" t="s">
        <v>51</v>
      </c>
    </row>
    <row r="22" spans="1:3">
      <c r="A22" s="31"/>
      <c r="B22" s="1" t="s">
        <v>26</v>
      </c>
      <c r="C22" s="7" t="s">
        <v>51</v>
      </c>
    </row>
    <row r="23" spans="1:3">
      <c r="A23" s="31"/>
      <c r="B23" s="1" t="s">
        <v>27</v>
      </c>
      <c r="C23" s="7" t="s">
        <v>51</v>
      </c>
    </row>
    <row r="24" spans="1:3">
      <c r="A24" s="31"/>
      <c r="B24" s="1" t="s">
        <v>28</v>
      </c>
      <c r="C24" s="7" t="s">
        <v>51</v>
      </c>
    </row>
    <row r="25" spans="1:3">
      <c r="A25" s="31"/>
      <c r="B25" s="1" t="s">
        <v>29</v>
      </c>
      <c r="C25" s="7" t="s">
        <v>51</v>
      </c>
    </row>
    <row r="26" spans="1:3">
      <c r="A26" s="31"/>
      <c r="B26" s="1" t="s">
        <v>30</v>
      </c>
      <c r="C26" s="7" t="s">
        <v>51</v>
      </c>
    </row>
    <row r="27" spans="1:3">
      <c r="A27" s="31"/>
      <c r="B27" s="8" t="s">
        <v>22</v>
      </c>
      <c r="C27" s="7" t="s">
        <v>51</v>
      </c>
    </row>
    <row r="28" spans="1:3" ht="32">
      <c r="A28" s="29" t="s">
        <v>36</v>
      </c>
      <c r="B28" s="10" t="s">
        <v>35</v>
      </c>
      <c r="C28" s="7" t="s">
        <v>51</v>
      </c>
    </row>
    <row r="29" spans="1:3" ht="32">
      <c r="A29" s="29"/>
      <c r="B29" s="10" t="s">
        <v>33</v>
      </c>
      <c r="C29" s="7" t="s">
        <v>51</v>
      </c>
    </row>
    <row r="30" spans="1:3" ht="32">
      <c r="A30" s="29"/>
      <c r="B30" s="10" t="s">
        <v>34</v>
      </c>
      <c r="C30" s="7" t="s">
        <v>51</v>
      </c>
    </row>
    <row r="31" spans="1:3" ht="32">
      <c r="A31" s="36" t="s">
        <v>39</v>
      </c>
      <c r="B31" s="11" t="s">
        <v>37</v>
      </c>
      <c r="C31" s="7" t="s">
        <v>51</v>
      </c>
    </row>
    <row r="32" spans="1:3" ht="16">
      <c r="A32" s="36"/>
      <c r="B32" s="10" t="s">
        <v>38</v>
      </c>
      <c r="C32" s="7" t="s">
        <v>51</v>
      </c>
    </row>
    <row r="33" spans="1:3" ht="16">
      <c r="A33" s="29" t="s">
        <v>45</v>
      </c>
      <c r="B33" s="10" t="s">
        <v>40</v>
      </c>
      <c r="C33" s="7" t="s">
        <v>51</v>
      </c>
    </row>
    <row r="34" spans="1:3" ht="16">
      <c r="A34" s="29"/>
      <c r="B34" s="10" t="s">
        <v>41</v>
      </c>
      <c r="C34" s="7" t="s">
        <v>51</v>
      </c>
    </row>
    <row r="35" spans="1:3" ht="16">
      <c r="A35" s="29"/>
      <c r="B35" s="10" t="s">
        <v>42</v>
      </c>
      <c r="C35" s="7" t="s">
        <v>51</v>
      </c>
    </row>
    <row r="36" spans="1:3" ht="16">
      <c r="A36" s="29"/>
      <c r="B36" s="10" t="s">
        <v>43</v>
      </c>
      <c r="C36" s="7" t="s">
        <v>51</v>
      </c>
    </row>
    <row r="37" spans="1:3" ht="16">
      <c r="A37" s="29"/>
      <c r="B37" s="10" t="s">
        <v>44</v>
      </c>
      <c r="C37" s="7" t="s">
        <v>51</v>
      </c>
    </row>
    <row r="38" spans="1:3" ht="16">
      <c r="A38" s="29" t="s">
        <v>46</v>
      </c>
      <c r="B38" s="10" t="s">
        <v>47</v>
      </c>
      <c r="C38" s="7" t="s">
        <v>51</v>
      </c>
    </row>
    <row r="39" spans="1:3" ht="32">
      <c r="A39" s="29"/>
      <c r="B39" s="10" t="s">
        <v>48</v>
      </c>
      <c r="C39" s="7" t="s">
        <v>51</v>
      </c>
    </row>
    <row r="40" spans="1:3">
      <c r="B40" s="5"/>
    </row>
  </sheetData>
  <mergeCells count="11">
    <mergeCell ref="A38:A39"/>
    <mergeCell ref="A6:A7"/>
    <mergeCell ref="A8:A9"/>
    <mergeCell ref="A10:A12"/>
    <mergeCell ref="A13:A14"/>
    <mergeCell ref="A16:A18"/>
    <mergeCell ref="A19:A27"/>
    <mergeCell ref="A2:A5"/>
    <mergeCell ref="A28:A30"/>
    <mergeCell ref="A31:A32"/>
    <mergeCell ref="A33:A37"/>
  </mergeCells>
  <conditionalFormatting sqref="C2:C39">
    <cfRule type="cellIs" dxfId="2" priority="1" operator="equal">
      <formula>"NC"</formula>
    </cfRule>
    <cfRule type="cellIs" dxfId="1" priority="2" operator="equal">
      <formula>"C"</formula>
    </cfRule>
    <cfRule type="cellIs" dxfId="0" priority="3" operator="equal">
      <formula>"NA"</formula>
    </cfRule>
  </conditionalFormatting>
  <dataValidations count="1">
    <dataValidation type="list" showErrorMessage="1" sqref="C2:C39" xr:uid="{11E39A24-429D-7541-A864-93F48A40537A}">
      <formula1>"C,NC,NA,NT"</formula1>
    </dataValidation>
  </dataValidations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af3cd2ba-39fc-428b-a333-80f7eb18b18d}" enabled="1" method="Standard" siteId="{e8b88f3d-222b-4ce5-b9d1-46b0ff9466a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Échantillon</vt:lpstr>
      <vt:lpstr>P01</vt:lpstr>
      <vt:lpstr>P02</vt:lpstr>
      <vt:lpstr>Synthèse</vt:lpstr>
      <vt:lpstr>criteres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François-Xavier LAIR</dc:creator>
  <cp:lastModifiedBy>Henri GAUFFRIAU</cp:lastModifiedBy>
  <dcterms:created xsi:type="dcterms:W3CDTF">2025-02-04T10:54:10Z</dcterms:created>
  <dcterms:modified xsi:type="dcterms:W3CDTF">2026-06-16T06:38:19Z</dcterms:modified>
</cp:coreProperties>
</file>